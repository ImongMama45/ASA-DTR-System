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UND 2025" sheetId="1" r:id="rId4"/>
    <sheet state="visible" name="2025 " sheetId="2" r:id="rId5"/>
    <sheet state="visible" name="TEAM-B 2025 COSTING" sheetId="3" r:id="rId6"/>
    <sheet state="visible" name="FUND 2026" sheetId="4" r:id="rId7"/>
    <sheet state="visible" name="2026" sheetId="5" r:id="rId8"/>
  </sheets>
  <definedNames/>
  <calcPr/>
  <extLst>
    <ext uri="GoogleSheetsCustomDataVersion2">
      <go:sheetsCustomData xmlns:go="http://customooxmlschemas.google.com/" r:id="rId9" roundtripDataChecksum="OG9YeHiEJA5mXgKYSHyPV0ZNFm85TfWDgN5yv6j+bXU="/>
    </ext>
  </extLst>
</workbook>
</file>

<file path=xl/sharedStrings.xml><?xml version="1.0" encoding="utf-8"?>
<sst xmlns="http://schemas.openxmlformats.org/spreadsheetml/2006/main" count="483" uniqueCount="202">
  <si>
    <t>Names:</t>
  </si>
  <si>
    <t>Penalty</t>
  </si>
  <si>
    <t>Tshirt</t>
  </si>
  <si>
    <t>Completed</t>
  </si>
  <si>
    <t>Ancaja, Louise</t>
  </si>
  <si>
    <t>/</t>
  </si>
  <si>
    <t>Azores, Leslie</t>
  </si>
  <si>
    <t>Balanial, Pamela</t>
  </si>
  <si>
    <t>Bamba, Jhon</t>
  </si>
  <si>
    <t>Barco, Isabel</t>
  </si>
  <si>
    <t>Baria, Christine</t>
  </si>
  <si>
    <t xml:space="preserve"> </t>
  </si>
  <si>
    <t>Batad, Micha</t>
  </si>
  <si>
    <t>Biler, Kehn</t>
  </si>
  <si>
    <t>NEW</t>
  </si>
  <si>
    <t>-</t>
  </si>
  <si>
    <t>Capistrano, Robiel</t>
  </si>
  <si>
    <t>De dios, Rea</t>
  </si>
  <si>
    <t>Domanais, Karl</t>
  </si>
  <si>
    <t>Frias, Maryl</t>
  </si>
  <si>
    <t>Gaddi, Rex Jr.</t>
  </si>
  <si>
    <t>Guzman, Xyril</t>
  </si>
  <si>
    <t>La Lisan, Quert</t>
  </si>
  <si>
    <t>Labitigan, Reynalyn</t>
  </si>
  <si>
    <t>Lista, Jamaica</t>
  </si>
  <si>
    <t>Macaraig, Jay Cee</t>
  </si>
  <si>
    <t>Malonzo, Nizza</t>
  </si>
  <si>
    <t>Mendoza, Louis</t>
  </si>
  <si>
    <t>Ombao, Marlon Jr.</t>
  </si>
  <si>
    <t>Orozco, Maya</t>
  </si>
  <si>
    <t>Perillo, Amariel</t>
  </si>
  <si>
    <t>Pilapil, Ericka</t>
  </si>
  <si>
    <t>Quijano, Jerwin</t>
  </si>
  <si>
    <t>Quindoza, Aljo</t>
  </si>
  <si>
    <t>Rivera, Kate</t>
  </si>
  <si>
    <t>Sesgundo, Kim</t>
  </si>
  <si>
    <t>Tomenio, Alyssa</t>
  </si>
  <si>
    <t xml:space="preserve">Valencia, Alexia </t>
  </si>
  <si>
    <t>Vinas, Jiro</t>
  </si>
  <si>
    <t>Dator,Jeffre</t>
  </si>
  <si>
    <t>Gianan, Jean Nicole</t>
  </si>
  <si>
    <t>TOTAL</t>
  </si>
  <si>
    <t>Tomenio</t>
  </si>
  <si>
    <t>quert</t>
  </si>
  <si>
    <t>bamba</t>
  </si>
  <si>
    <t>Perillo</t>
  </si>
  <si>
    <t>xyril</t>
  </si>
  <si>
    <t>Quindoza</t>
  </si>
  <si>
    <t>Pamela</t>
  </si>
  <si>
    <t>jaycee</t>
  </si>
  <si>
    <t>Leslie</t>
  </si>
  <si>
    <t>Batad</t>
  </si>
  <si>
    <t>FUND COLLECTION</t>
  </si>
  <si>
    <t>Total</t>
  </si>
  <si>
    <t>less</t>
  </si>
  <si>
    <t>Fund Collection (1/15/25)</t>
  </si>
  <si>
    <t>Fund Collection (1/31/25)</t>
  </si>
  <si>
    <t>FUND (2024)</t>
  </si>
  <si>
    <t>Org Shirt (downpayment)</t>
  </si>
  <si>
    <t>Fund Collection (2/15/25)</t>
  </si>
  <si>
    <t>Payment (gcash)</t>
  </si>
  <si>
    <t>Bamboo Stick</t>
  </si>
  <si>
    <t>Total Org Shirt</t>
  </si>
  <si>
    <t>Mangrove, Transpo</t>
  </si>
  <si>
    <t>Shirt Collection</t>
  </si>
  <si>
    <t>Fund Collection, (2/28/25)</t>
  </si>
  <si>
    <t>Adviser's Shirt</t>
  </si>
  <si>
    <t xml:space="preserve">Total Less in Fund </t>
  </si>
  <si>
    <t>Fund Collection (3/15/25)</t>
  </si>
  <si>
    <t>Fund Collection (3/31/25)</t>
  </si>
  <si>
    <r>
      <rPr>
        <rFont val="Calibri"/>
        <b/>
        <color theme="1"/>
        <sz val="11.0"/>
      </rPr>
      <t>LESS</t>
    </r>
    <r>
      <rPr>
        <rFont val="Calibri"/>
        <b val="0"/>
        <color theme="1"/>
        <sz val="11.0"/>
      </rPr>
      <t>: Sign Language (FOOD)</t>
    </r>
  </si>
  <si>
    <t>Tree Planting Activity</t>
  </si>
  <si>
    <t>Fund Collection (4/15/25)</t>
  </si>
  <si>
    <t>LESS: Bamboo Stick</t>
  </si>
  <si>
    <t>Fund Collection (4/30/25)</t>
  </si>
  <si>
    <t xml:space="preserve">           Mangrove &amp; Transpo</t>
  </si>
  <si>
    <t>Fund Collection (5/1/25)</t>
  </si>
  <si>
    <t>Fund Collection (Jan-July)</t>
  </si>
  <si>
    <t>Fund Collection (5/31/25)</t>
  </si>
  <si>
    <t>Fund Collection (6/15/25)</t>
  </si>
  <si>
    <t>SARIAYA</t>
  </si>
  <si>
    <t>LESS: Ocular (MARYL, ALJO)</t>
  </si>
  <si>
    <t>Fund Collection (6/30/25)</t>
  </si>
  <si>
    <t>GUIS-GUIS</t>
  </si>
  <si>
    <t xml:space="preserve">           GAS (BILER)</t>
  </si>
  <si>
    <t>Fund Collection (7/15/25)</t>
  </si>
  <si>
    <t>DEL PRADO</t>
  </si>
  <si>
    <t>PARAISO</t>
  </si>
  <si>
    <t>LESS:</t>
  </si>
  <si>
    <t>JEEP</t>
  </si>
  <si>
    <t>ADDITIONAL FOR RESORT</t>
  </si>
  <si>
    <t>Utensils</t>
  </si>
  <si>
    <t>TOTAL EXPENSE</t>
  </si>
  <si>
    <t>Liqour</t>
  </si>
  <si>
    <t>Total R. Fund (Maryl)</t>
  </si>
  <si>
    <t>Foods</t>
  </si>
  <si>
    <t>Materials</t>
  </si>
  <si>
    <t>Chips and Prizes</t>
  </si>
  <si>
    <t>Beg. Bal</t>
  </si>
  <si>
    <t>Resort</t>
  </si>
  <si>
    <t>Less:</t>
  </si>
  <si>
    <t>Service Fee</t>
  </si>
  <si>
    <t>Tarp</t>
  </si>
  <si>
    <t>AR. Dator</t>
  </si>
  <si>
    <t>Jeep</t>
  </si>
  <si>
    <t>AR. DR. Malot</t>
  </si>
  <si>
    <t>Backdrop</t>
  </si>
  <si>
    <t>Paper Plate</t>
  </si>
  <si>
    <t>TOTAL FUND</t>
  </si>
  <si>
    <t>ADD.         CONTRIBUTION</t>
  </si>
  <si>
    <t>Token</t>
  </si>
  <si>
    <t xml:space="preserve"> Ma'am Alyssa</t>
  </si>
  <si>
    <t>TOTAL REMAINING FUND</t>
  </si>
  <si>
    <t>ADD.         WASTE PAPER</t>
  </si>
  <si>
    <t>total</t>
  </si>
  <si>
    <t>reimbursement</t>
  </si>
  <si>
    <t>Dator- Cash</t>
  </si>
  <si>
    <t>Total Fund</t>
  </si>
  <si>
    <t>COSTING</t>
  </si>
  <si>
    <t>Costing for Team-Building</t>
  </si>
  <si>
    <t>*2</t>
  </si>
  <si>
    <t>FINANCE</t>
  </si>
  <si>
    <t>21 hrs</t>
  </si>
  <si>
    <t>Daytour</t>
  </si>
  <si>
    <t>9 am -5 pm</t>
  </si>
  <si>
    <t>FUND</t>
  </si>
  <si>
    <t>Villa</t>
  </si>
  <si>
    <t xml:space="preserve">Drewn </t>
  </si>
  <si>
    <t>BUDGETED</t>
  </si>
  <si>
    <t>Transportation</t>
  </si>
  <si>
    <t>Wrap</t>
  </si>
  <si>
    <t>Delivery Fee</t>
  </si>
  <si>
    <t>Contribution</t>
  </si>
  <si>
    <t>Other Expense</t>
  </si>
  <si>
    <t>PASOBRA</t>
  </si>
  <si>
    <t>TOTAL COST</t>
  </si>
  <si>
    <t>Entrance</t>
  </si>
  <si>
    <t>WOES</t>
  </si>
  <si>
    <t>(less from Fund)</t>
  </si>
  <si>
    <t>per head</t>
  </si>
  <si>
    <t>Villa Leo Del</t>
  </si>
  <si>
    <t>Brgy. Pahinga Sur, Candelaria Quezon</t>
  </si>
  <si>
    <t>R. BAL.</t>
  </si>
  <si>
    <t>Cottage</t>
  </si>
  <si>
    <t xml:space="preserve">Villa Del Prado </t>
  </si>
  <si>
    <t>Pub and Speakers</t>
  </si>
  <si>
    <t>Sariaya</t>
  </si>
  <si>
    <t>Videoke</t>
  </si>
  <si>
    <t>WILLIEMAC, SARIAYA</t>
  </si>
  <si>
    <t>PARAISO, SARIAYA</t>
  </si>
  <si>
    <t>Corkages</t>
  </si>
  <si>
    <t>Agenda:</t>
  </si>
  <si>
    <t>Project Design</t>
  </si>
  <si>
    <t>Costing</t>
  </si>
  <si>
    <t>Program</t>
  </si>
  <si>
    <t>Speakers</t>
  </si>
  <si>
    <t>Letter</t>
  </si>
  <si>
    <t>Tarpaulin</t>
  </si>
  <si>
    <t>Foods w/ AR</t>
  </si>
  <si>
    <t>Transportation w/ AR</t>
  </si>
  <si>
    <t>Feb 31</t>
  </si>
  <si>
    <t xml:space="preserve">Garcia, Gracy </t>
  </si>
  <si>
    <t>Lalisan, Quert</t>
  </si>
  <si>
    <t>Laguna, Heleina</t>
  </si>
  <si>
    <t>Nieva, Ericka</t>
  </si>
  <si>
    <t>Orte, James Miro</t>
  </si>
  <si>
    <t>Samante, Gian</t>
  </si>
  <si>
    <t xml:space="preserve">Claveria, Nace </t>
  </si>
  <si>
    <t>Baral, Khamlah</t>
  </si>
  <si>
    <t>San Miguel, JV</t>
  </si>
  <si>
    <t>Carabido, Paul</t>
  </si>
  <si>
    <t>Cordovilla, Kate</t>
  </si>
  <si>
    <t>Casipit, Lester</t>
  </si>
  <si>
    <t xml:space="preserve"> Merle, John Gabriel</t>
  </si>
  <si>
    <t>Catalan, Daniel</t>
  </si>
  <si>
    <t>Menemedez</t>
  </si>
  <si>
    <t>Andrei</t>
  </si>
  <si>
    <t>Redota</t>
  </si>
  <si>
    <t>sHANE</t>
  </si>
  <si>
    <t>Llego, Jeffrey</t>
  </si>
  <si>
    <t>Silang</t>
  </si>
  <si>
    <t>Iverson</t>
  </si>
  <si>
    <t>Degras</t>
  </si>
  <si>
    <t>Theo</t>
  </si>
  <si>
    <t>Lipaopao</t>
  </si>
  <si>
    <t>Angela</t>
  </si>
  <si>
    <t>Panesa</t>
  </si>
  <si>
    <t>Jeremy</t>
  </si>
  <si>
    <t>Manalo</t>
  </si>
  <si>
    <t>Helton</t>
  </si>
  <si>
    <t>Mendoza, Arjhon</t>
  </si>
  <si>
    <t>De Castro, Abegail</t>
  </si>
  <si>
    <t>Less: Snacks for Sign Langauge</t>
  </si>
  <si>
    <t>Total Remaining Fund</t>
  </si>
  <si>
    <t>FUND COLLECTED (4/13/26)</t>
  </si>
  <si>
    <t>Less: LYDO Transpo</t>
  </si>
  <si>
    <t>Isabel R. Barco</t>
  </si>
  <si>
    <t>Treasurer, Alliance of Student Assistants</t>
  </si>
  <si>
    <t>Maryl France P. Frias</t>
  </si>
  <si>
    <t>President, Alliance of Student Assistants</t>
  </si>
  <si>
    <t>Dr. Mary Rose Q. Cabreros</t>
  </si>
  <si>
    <t>Adviser, Alliance of Student Assistants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</si>
</sst>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-d"/>
    <numFmt numFmtId="165" formatCode="_-[$₱-3409]* #,##0.00_-;\-[$₱-3409]* #,##0.00_-;_-[$₱-3409]* &quot;-&quot;??_-;_-@"/>
    <numFmt numFmtId="166" formatCode="0_ "/>
    <numFmt numFmtId="167" formatCode="mmm d"/>
    <numFmt numFmtId="168" formatCode="mmmm d"/>
  </numFmts>
  <fonts count="18">
    <font>
      <sz val="11.0"/>
      <color theme="1"/>
      <name val="Calibri"/>
      <scheme val="minor"/>
    </font>
    <font>
      <sz val="11.0"/>
      <color theme="1"/>
      <name val="Calibri"/>
    </font>
    <font/>
    <font>
      <color theme="1"/>
      <name val="Calibri"/>
      <scheme val="minor"/>
    </font>
    <font>
      <sz val="11.0"/>
      <color rgb="FF385623"/>
      <name val="Calibri"/>
    </font>
    <font>
      <sz val="11.0"/>
      <color rgb="FFFF0000"/>
      <name val="Calibri"/>
    </font>
    <font>
      <b/>
      <i/>
      <sz val="11.0"/>
      <color theme="1"/>
      <name val="Calibri"/>
    </font>
    <font>
      <b/>
      <sz val="11.0"/>
      <color theme="1"/>
      <name val="Calibri"/>
    </font>
    <font>
      <b/>
      <u/>
      <sz val="11.0"/>
      <color theme="1"/>
      <name val="Calibri"/>
    </font>
    <font>
      <u/>
      <sz val="11.0"/>
      <color theme="1"/>
      <name val="Calibri"/>
    </font>
    <font>
      <b/>
      <sz val="11.0"/>
      <color rgb="FFFF0000"/>
      <name val="Calibri"/>
    </font>
    <font>
      <b/>
      <sz val="18.0"/>
      <color theme="1"/>
      <name val="Calibri"/>
    </font>
    <font>
      <sz val="18.0"/>
      <color theme="1"/>
      <name val="Calibri"/>
    </font>
    <font>
      <i/>
      <u/>
      <sz val="11.0"/>
      <color theme="1"/>
      <name val="Calibri"/>
    </font>
    <font>
      <i/>
      <sz val="11.0"/>
      <color theme="1"/>
      <name val="Calibri"/>
    </font>
    <font>
      <color rgb="FFFF0000"/>
      <name val="Calibri"/>
      <scheme val="minor"/>
    </font>
    <font>
      <sz val="11.0"/>
      <color rgb="FF0B5394"/>
      <name val="Calibri"/>
    </font>
    <font>
      <b/>
      <color theme="1"/>
      <name val="Calibri"/>
      <scheme val="minor"/>
    </font>
  </fonts>
  <fills count="12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rgb="FFFFFF00"/>
      </patternFill>
    </fill>
    <fill>
      <patternFill patternType="solid">
        <fgColor rgb="FF548135"/>
        <bgColor rgb="FF548135"/>
      </patternFill>
    </fill>
    <fill>
      <patternFill patternType="solid">
        <fgColor rgb="FFC5E0B3"/>
        <bgColor rgb="FFC5E0B3"/>
      </patternFill>
    </fill>
    <fill>
      <patternFill patternType="solid">
        <fgColor rgb="FF3D85C6"/>
        <bgColor rgb="FF3D85C6"/>
      </patternFill>
    </fill>
    <fill>
      <patternFill patternType="solid">
        <fgColor rgb="FF0B5394"/>
        <bgColor rgb="FF0B5394"/>
      </patternFill>
    </fill>
    <fill>
      <patternFill patternType="solid">
        <fgColor rgb="FFFF0000"/>
        <bgColor rgb="FFFF0000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</fills>
  <borders count="30">
    <border/>
    <border>
      <left style="medium">
        <color rgb="FF000000"/>
      </left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top style="medium">
        <color rgb="FF000000"/>
      </top>
    </border>
    <border>
      <left/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medium">
        <color rgb="FF000000"/>
      </right>
    </border>
    <border>
      <right style="medium">
        <color rgb="FF000000"/>
      </right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top/>
      <bottom/>
    </border>
    <border>
      <left style="thin">
        <color rgb="FF000000"/>
      </left>
      <right style="thin">
        <color rgb="FF000000"/>
      </right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bottom style="double">
        <color rgb="FF000000"/>
      </bottom>
    </border>
    <border>
      <left style="medium">
        <color rgb="FF000000"/>
      </left>
      <bottom style="medium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2">
    <xf borderId="0" fillId="0" fontId="0" numFmtId="0" xfId="0" applyAlignment="1" applyFont="1">
      <alignment readingOrder="0" shrinkToFit="0" vertical="center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vertical="center"/>
    </xf>
    <xf borderId="3" fillId="0" fontId="1" numFmtId="17" xfId="0" applyAlignment="1" applyBorder="1" applyFont="1" applyNumberFormat="1">
      <alignment horizontal="center" vertical="center"/>
    </xf>
    <xf borderId="4" fillId="0" fontId="1" numFmtId="17" xfId="0" applyAlignment="1" applyBorder="1" applyFont="1" applyNumberFormat="1">
      <alignment horizontal="center" vertical="center"/>
    </xf>
    <xf borderId="5" fillId="0" fontId="1" numFmtId="17" xfId="0" applyAlignment="1" applyBorder="1" applyFont="1" applyNumberFormat="1">
      <alignment horizontal="center" vertical="center"/>
    </xf>
    <xf borderId="6" fillId="0" fontId="1" numFmtId="17" xfId="0" applyAlignment="1" applyBorder="1" applyFont="1" applyNumberFormat="1">
      <alignment horizontal="center" vertical="center"/>
    </xf>
    <xf borderId="4" fillId="0" fontId="3" numFmtId="164" xfId="0" applyAlignment="1" applyBorder="1" applyFont="1" applyNumberFormat="1">
      <alignment horizontal="center" readingOrder="0" vertical="center"/>
    </xf>
    <xf borderId="0" fillId="0" fontId="1" numFmtId="0" xfId="0" applyAlignment="1" applyFont="1">
      <alignment horizontal="center" vertical="center"/>
    </xf>
    <xf borderId="7" fillId="0" fontId="1" numFmtId="0" xfId="0" applyAlignment="1" applyBorder="1" applyFont="1">
      <alignment vertical="center"/>
    </xf>
    <xf borderId="8" fillId="2" fontId="1" numFmtId="0" xfId="0" applyAlignment="1" applyBorder="1" applyFill="1" applyFont="1">
      <alignment vertical="center"/>
    </xf>
    <xf borderId="9" fillId="0" fontId="1" numFmtId="0" xfId="0" applyAlignment="1" applyBorder="1" applyFont="1">
      <alignment vertical="center"/>
    </xf>
    <xf borderId="10" fillId="0" fontId="1" numFmtId="0" xfId="0" applyAlignment="1" applyBorder="1" applyFont="1">
      <alignment vertical="center"/>
    </xf>
    <xf borderId="11" fillId="0" fontId="4" numFmtId="0" xfId="0" applyAlignment="1" applyBorder="1" applyFont="1">
      <alignment horizontal="center" vertical="center"/>
    </xf>
    <xf borderId="2" fillId="0" fontId="4" numFmtId="0" xfId="0" applyAlignment="1" applyBorder="1" applyFont="1">
      <alignment horizontal="center" vertical="center"/>
    </xf>
    <xf borderId="3" fillId="0" fontId="4" numFmtId="0" xfId="0" applyAlignment="1" applyBorder="1" applyFont="1">
      <alignment horizontal="center" vertical="center"/>
    </xf>
    <xf borderId="7" fillId="0" fontId="4" numFmtId="0" xfId="0" applyAlignment="1" applyBorder="1" applyFont="1">
      <alignment horizontal="center" vertical="center"/>
    </xf>
    <xf borderId="1" fillId="0" fontId="4" numFmtId="0" xfId="0" applyAlignment="1" applyBorder="1" applyFont="1">
      <alignment horizontal="center" vertical="center"/>
    </xf>
    <xf borderId="12" fillId="0" fontId="3" numFmtId="0" xfId="0" applyAlignment="1" applyBorder="1" applyFont="1">
      <alignment horizontal="center" vertical="center"/>
    </xf>
    <xf borderId="13" fillId="0" fontId="3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14" fillId="0" fontId="1" numFmtId="0" xfId="0" applyAlignment="1" applyBorder="1" applyFont="1">
      <alignment vertical="center"/>
    </xf>
    <xf borderId="15" fillId="0" fontId="4" numFmtId="0" xfId="0" applyAlignment="1" applyBorder="1" applyFont="1">
      <alignment horizontal="center" vertical="center"/>
    </xf>
    <xf borderId="13" fillId="0" fontId="4" numFmtId="0" xfId="0" applyAlignment="1" applyBorder="1" applyFont="1">
      <alignment horizontal="center" vertical="center"/>
    </xf>
    <xf borderId="12" fillId="0" fontId="4" numFmtId="0" xfId="0" applyAlignment="1" applyBorder="1" applyFont="1">
      <alignment horizontal="center" vertical="center"/>
    </xf>
    <xf borderId="0" fillId="0" fontId="4" numFmtId="0" xfId="0" applyAlignment="1" applyFont="1">
      <alignment horizontal="center" vertical="center"/>
    </xf>
    <xf borderId="12" fillId="0" fontId="1" numFmtId="0" xfId="0" applyAlignment="1" applyBorder="1" applyFont="1">
      <alignment horizontal="center" vertical="center"/>
    </xf>
    <xf borderId="16" fillId="0" fontId="1" numFmtId="0" xfId="0" applyAlignment="1" applyBorder="1" applyFont="1">
      <alignment horizontal="center" vertical="center"/>
    </xf>
    <xf borderId="0" fillId="0" fontId="1" numFmtId="0" xfId="0" applyAlignment="1" applyFont="1">
      <alignment horizontal="center" readingOrder="0" vertical="center"/>
    </xf>
    <xf borderId="12" fillId="0" fontId="1" numFmtId="0" xfId="0" applyAlignment="1" applyBorder="1" applyFont="1">
      <alignment horizontal="center" readingOrder="0" vertical="center"/>
    </xf>
    <xf borderId="17" fillId="3" fontId="1" numFmtId="0" xfId="0" applyAlignment="1" applyBorder="1" applyFill="1" applyFont="1">
      <alignment horizontal="center" vertical="center"/>
    </xf>
    <xf borderId="8" fillId="3" fontId="1" numFmtId="0" xfId="0" applyAlignment="1" applyBorder="1" applyFont="1">
      <alignment horizontal="center" vertical="center"/>
    </xf>
    <xf borderId="18" fillId="3" fontId="1" numFmtId="0" xfId="0" applyAlignment="1" applyBorder="1" applyFont="1">
      <alignment horizontal="center" vertical="center"/>
    </xf>
    <xf borderId="18" fillId="3" fontId="5" numFmtId="0" xfId="0" applyAlignment="1" applyBorder="1" applyFont="1">
      <alignment horizontal="center" vertical="center"/>
    </xf>
    <xf borderId="16" fillId="0" fontId="4" numFmtId="0" xfId="0" applyAlignment="1" applyBorder="1" applyFont="1">
      <alignment horizontal="center" vertical="center"/>
    </xf>
    <xf borderId="19" fillId="4" fontId="1" numFmtId="0" xfId="0" applyAlignment="1" applyBorder="1" applyFill="1" applyFont="1">
      <alignment horizontal="center" vertical="center"/>
    </xf>
    <xf borderId="8" fillId="5" fontId="1" numFmtId="0" xfId="0" applyAlignment="1" applyBorder="1" applyFill="1" applyFont="1">
      <alignment vertical="center"/>
    </xf>
    <xf borderId="16" fillId="0" fontId="1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horizontal="center" readingOrder="0" vertical="center"/>
    </xf>
    <xf borderId="16" fillId="0" fontId="4" numFmtId="0" xfId="0" applyAlignment="1" applyBorder="1" applyFont="1">
      <alignment horizontal="center" readingOrder="0" vertical="center"/>
    </xf>
    <xf borderId="13" fillId="0" fontId="3" numFmtId="0" xfId="0" applyAlignment="1" applyBorder="1" applyFont="1">
      <alignment horizontal="center" readingOrder="0" vertical="center"/>
    </xf>
    <xf borderId="15" fillId="0" fontId="1" numFmtId="0" xfId="0" applyAlignment="1" applyBorder="1" applyFont="1">
      <alignment horizontal="center" vertical="center"/>
    </xf>
    <xf borderId="13" fillId="0" fontId="1" numFmtId="0" xfId="0" applyAlignment="1" applyBorder="1" applyFont="1">
      <alignment horizontal="center" vertical="center"/>
    </xf>
    <xf borderId="8" fillId="6" fontId="1" numFmtId="0" xfId="0" applyAlignment="1" applyBorder="1" applyFill="1" applyFont="1">
      <alignment vertical="center"/>
    </xf>
    <xf borderId="17" fillId="3" fontId="4" numFmtId="0" xfId="0" applyAlignment="1" applyBorder="1" applyFont="1">
      <alignment horizontal="center" vertical="center"/>
    </xf>
    <xf borderId="17" fillId="3" fontId="5" numFmtId="0" xfId="0" applyAlignment="1" applyBorder="1" applyFont="1">
      <alignment horizontal="center" vertical="center"/>
    </xf>
    <xf borderId="12" fillId="7" fontId="1" numFmtId="0" xfId="0" applyAlignment="1" applyBorder="1" applyFill="1" applyFont="1">
      <alignment horizontal="center" vertical="center"/>
    </xf>
    <xf borderId="14" fillId="0" fontId="5" numFmtId="0" xfId="0" applyAlignment="1" applyBorder="1" applyFont="1">
      <alignment vertical="center"/>
    </xf>
    <xf borderId="20" fillId="4" fontId="1" numFmtId="0" xfId="0" applyAlignment="1" applyBorder="1" applyFont="1">
      <alignment horizontal="center" vertical="center"/>
    </xf>
    <xf borderId="12" fillId="8" fontId="1" numFmtId="0" xfId="0" applyAlignment="1" applyBorder="1" applyFill="1" applyFont="1">
      <alignment horizontal="center" vertical="center"/>
    </xf>
    <xf borderId="16" fillId="8" fontId="1" numFmtId="0" xfId="0" applyAlignment="1" applyBorder="1" applyFont="1">
      <alignment horizontal="center" vertical="center"/>
    </xf>
    <xf borderId="17" fillId="4" fontId="1" numFmtId="0" xfId="0" applyAlignment="1" applyBorder="1" applyFont="1">
      <alignment horizontal="center" vertical="center"/>
    </xf>
    <xf borderId="21" fillId="0" fontId="3" numFmtId="0" xfId="0" applyAlignment="1" applyBorder="1" applyFont="1">
      <alignment horizontal="center" vertical="center"/>
    </xf>
    <xf borderId="22" fillId="0" fontId="3" numFmtId="0" xfId="0" applyAlignment="1" applyBorder="1" applyFont="1">
      <alignment horizontal="center" vertical="center"/>
    </xf>
    <xf borderId="10" fillId="0" fontId="1" numFmtId="0" xfId="0" applyAlignment="1" applyBorder="1" applyFont="1">
      <alignment horizontal="left" vertical="center"/>
    </xf>
    <xf borderId="10" fillId="0" fontId="2" numFmtId="0" xfId="0" applyAlignment="1" applyBorder="1" applyFont="1">
      <alignment vertical="center"/>
    </xf>
    <xf borderId="10" fillId="0" fontId="1" numFmtId="0" xfId="0" applyAlignment="1" applyBorder="1" applyFont="1">
      <alignment horizontal="center" vertical="center"/>
    </xf>
    <xf borderId="0" fillId="0" fontId="6" numFmtId="0" xfId="0" applyAlignment="1" applyFont="1">
      <alignment vertical="center"/>
    </xf>
    <xf borderId="0" fillId="0" fontId="7" numFmtId="0" xfId="0" applyAlignment="1" applyFont="1">
      <alignment horizontal="center" vertical="center"/>
    </xf>
    <xf borderId="0" fillId="0" fontId="3" numFmtId="0" xfId="0" applyAlignment="1" applyFont="1">
      <alignment vertical="center"/>
    </xf>
    <xf borderId="23" fillId="0" fontId="1" numFmtId="0" xfId="0" applyAlignment="1" applyBorder="1" applyFont="1">
      <alignment horizontal="center" vertical="center"/>
    </xf>
    <xf borderId="0" fillId="0" fontId="8" numFmtId="0" xfId="0" applyAlignment="1" applyFont="1">
      <alignment vertical="center"/>
    </xf>
    <xf borderId="0" fillId="0" fontId="1" numFmtId="3" xfId="0" applyAlignment="1" applyFont="1" applyNumberFormat="1">
      <alignment vertical="center"/>
    </xf>
    <xf borderId="23" fillId="0" fontId="1" numFmtId="0" xfId="0" applyAlignment="1" applyBorder="1" applyFont="1">
      <alignment vertical="center"/>
    </xf>
    <xf borderId="0" fillId="0" fontId="7" numFmtId="0" xfId="0" applyAlignment="1" applyFont="1">
      <alignment vertical="center"/>
    </xf>
    <xf borderId="0" fillId="0" fontId="9" numFmtId="3" xfId="0" applyAlignment="1" applyFont="1" applyNumberFormat="1">
      <alignment vertical="center"/>
    </xf>
    <xf borderId="0" fillId="0" fontId="7" numFmtId="3" xfId="0" applyAlignment="1" applyFont="1" applyNumberFormat="1">
      <alignment vertical="center"/>
    </xf>
    <xf borderId="0" fillId="0" fontId="1" numFmtId="0" xfId="0" applyAlignment="1" applyFont="1">
      <alignment horizontal="left" vertical="center"/>
    </xf>
    <xf borderId="10" fillId="0" fontId="7" numFmtId="3" xfId="0" applyAlignment="1" applyBorder="1" applyFont="1" applyNumberFormat="1">
      <alignment vertical="center"/>
    </xf>
    <xf borderId="0" fillId="0" fontId="1" numFmtId="0" xfId="0" applyAlignment="1" applyFont="1">
      <alignment horizontal="right" vertical="center"/>
    </xf>
    <xf borderId="10" fillId="0" fontId="7" numFmtId="0" xfId="0" applyAlignment="1" applyBorder="1" applyFont="1">
      <alignment vertical="center"/>
    </xf>
    <xf borderId="10" fillId="0" fontId="1" numFmtId="3" xfId="0" applyAlignment="1" applyBorder="1" applyFont="1" applyNumberFormat="1">
      <alignment vertical="center"/>
    </xf>
    <xf borderId="0" fillId="0" fontId="10" numFmtId="165" xfId="0" applyAlignment="1" applyFont="1" applyNumberFormat="1">
      <alignment vertical="center"/>
    </xf>
    <xf borderId="24" fillId="0" fontId="7" numFmtId="3" xfId="0" applyAlignment="1" applyBorder="1" applyFont="1" applyNumberFormat="1">
      <alignment vertical="center"/>
    </xf>
    <xf borderId="8" fillId="4" fontId="1" numFmtId="0" xfId="0" applyAlignment="1" applyBorder="1" applyFont="1">
      <alignment vertical="center"/>
    </xf>
    <xf borderId="0" fillId="0" fontId="11" numFmtId="0" xfId="0" applyAlignment="1" applyFont="1">
      <alignment vertical="center"/>
    </xf>
    <xf borderId="0" fillId="0" fontId="12" numFmtId="0" xfId="0" applyAlignment="1" applyFont="1">
      <alignment vertical="center"/>
    </xf>
    <xf borderId="0" fillId="0" fontId="13" numFmtId="0" xfId="0" applyAlignment="1" applyFont="1">
      <alignment vertical="center"/>
    </xf>
    <xf borderId="23" fillId="0" fontId="14" numFmtId="0" xfId="0" applyAlignment="1" applyBorder="1" applyFont="1">
      <alignment vertical="center"/>
    </xf>
    <xf borderId="24" fillId="0" fontId="1" numFmtId="3" xfId="0" applyAlignment="1" applyBorder="1" applyFont="1" applyNumberFormat="1">
      <alignment vertical="center"/>
    </xf>
    <xf borderId="24" fillId="0" fontId="7" numFmtId="0" xfId="0" applyAlignment="1" applyBorder="1" applyFont="1">
      <alignment vertical="center"/>
    </xf>
    <xf borderId="0" fillId="0" fontId="1" numFmtId="166" xfId="0" applyAlignment="1" applyFont="1" applyNumberFormat="1">
      <alignment vertical="center"/>
    </xf>
    <xf borderId="5" fillId="0" fontId="1" numFmtId="0" xfId="0" applyAlignment="1" applyBorder="1" applyFont="1">
      <alignment vertical="center"/>
    </xf>
    <xf borderId="6" fillId="0" fontId="7" numFmtId="0" xfId="0" applyAlignment="1" applyBorder="1" applyFont="1">
      <alignment vertical="center"/>
    </xf>
    <xf borderId="25" fillId="0" fontId="7" numFmtId="0" xfId="0" applyAlignment="1" applyBorder="1" applyFont="1">
      <alignment vertical="center"/>
    </xf>
    <xf borderId="5" fillId="0" fontId="1" numFmtId="0" xfId="0" applyAlignment="1" applyBorder="1" applyFont="1">
      <alignment horizontal="center" vertical="center"/>
    </xf>
    <xf borderId="6" fillId="0" fontId="2" numFmtId="0" xfId="0" applyAlignment="1" applyBorder="1" applyFont="1">
      <alignment vertical="center"/>
    </xf>
    <xf borderId="0" fillId="0" fontId="1" numFmtId="17" xfId="0" applyAlignment="1" applyFont="1" applyNumberFormat="1">
      <alignment horizontal="center" vertical="center"/>
    </xf>
    <xf borderId="4" fillId="0" fontId="1" numFmtId="17" xfId="0" applyAlignment="1" applyBorder="1" applyFont="1" applyNumberFormat="1">
      <alignment horizontal="center" readingOrder="0" vertical="center"/>
    </xf>
    <xf borderId="5" fillId="0" fontId="1" numFmtId="17" xfId="0" applyAlignment="1" applyBorder="1" applyFont="1" applyNumberFormat="1">
      <alignment horizontal="center" readingOrder="0" vertical="center"/>
    </xf>
    <xf borderId="11" fillId="0" fontId="3" numFmtId="167" xfId="0" applyAlignment="1" applyBorder="1" applyFont="1" applyNumberFormat="1">
      <alignment horizontal="center" readingOrder="0" vertical="center"/>
    </xf>
    <xf borderId="9" fillId="0" fontId="3" numFmtId="0" xfId="0" applyAlignment="1" applyBorder="1" applyFont="1">
      <alignment horizontal="center" readingOrder="0" vertical="center"/>
    </xf>
    <xf borderId="4" fillId="0" fontId="3" numFmtId="168" xfId="0" applyAlignment="1" applyBorder="1" applyFont="1" applyNumberFormat="1">
      <alignment horizontal="center" readingOrder="0" vertical="center"/>
    </xf>
    <xf borderId="10" fillId="0" fontId="3" numFmtId="167" xfId="0" applyAlignment="1" applyBorder="1" applyFont="1" applyNumberFormat="1">
      <alignment horizontal="center" readingOrder="0" vertical="center"/>
    </xf>
    <xf borderId="3" fillId="0" fontId="3" numFmtId="168" xfId="0" applyAlignment="1" applyBorder="1" applyFont="1" applyNumberFormat="1">
      <alignment horizontal="center" readingOrder="0" vertical="center"/>
    </xf>
    <xf borderId="0" fillId="0" fontId="3" numFmtId="0" xfId="0" applyAlignment="1" applyFont="1">
      <alignment horizontal="center" vertical="center"/>
    </xf>
    <xf borderId="2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readingOrder="0" vertical="center"/>
    </xf>
    <xf borderId="3" fillId="0" fontId="1" numFmtId="0" xfId="0" applyAlignment="1" applyBorder="1" applyFont="1">
      <alignment horizontal="center" vertical="center"/>
    </xf>
    <xf borderId="3" fillId="0" fontId="3" numFmtId="0" xfId="0" applyAlignment="1" applyBorder="1" applyFont="1">
      <alignment vertical="center"/>
    </xf>
    <xf borderId="12" fillId="0" fontId="3" numFmtId="0" xfId="0" applyAlignment="1" applyBorder="1" applyFont="1">
      <alignment vertical="center"/>
    </xf>
    <xf borderId="7" fillId="0" fontId="3" numFmtId="0" xfId="0" applyAlignment="1" applyBorder="1" applyFont="1">
      <alignment vertical="center"/>
    </xf>
    <xf borderId="13" fillId="0" fontId="2" numFmtId="0" xfId="0" applyAlignment="1" applyBorder="1" applyFont="1">
      <alignment vertical="center"/>
    </xf>
    <xf borderId="13" fillId="0" fontId="1" numFmtId="0" xfId="0" applyAlignment="1" applyBorder="1" applyFont="1">
      <alignment horizontal="center" readingOrder="0" vertical="center"/>
    </xf>
    <xf borderId="12" fillId="0" fontId="3" numFmtId="0" xfId="0" applyAlignment="1" applyBorder="1" applyFont="1">
      <alignment readingOrder="0" vertical="center"/>
    </xf>
    <xf borderId="16" fillId="0" fontId="5" numFmtId="0" xfId="0" applyAlignment="1" applyBorder="1" applyFont="1">
      <alignment horizontal="center" vertical="center"/>
    </xf>
    <xf borderId="13" fillId="4" fontId="1" numFmtId="0" xfId="0" applyAlignment="1" applyBorder="1" applyFont="1">
      <alignment horizontal="center" readingOrder="0" vertical="center"/>
    </xf>
    <xf borderId="12" fillId="0" fontId="15" numFmtId="0" xfId="0" applyAlignment="1" applyBorder="1" applyFont="1">
      <alignment readingOrder="0" vertical="center"/>
    </xf>
    <xf borderId="16" fillId="9" fontId="1" numFmtId="0" xfId="0" applyAlignment="1" applyBorder="1" applyFill="1" applyFont="1">
      <alignment horizontal="center" vertical="center"/>
    </xf>
    <xf borderId="12" fillId="4" fontId="1" numFmtId="0" xfId="0" applyAlignment="1" applyBorder="1" applyFont="1">
      <alignment horizontal="center" readingOrder="0" vertical="center"/>
    </xf>
    <xf borderId="12" fillId="0" fontId="5" numFmtId="0" xfId="0" applyAlignment="1" applyBorder="1" applyFont="1">
      <alignment horizontal="center" vertical="center"/>
    </xf>
    <xf borderId="0" fillId="10" fontId="1" numFmtId="0" xfId="0" applyAlignment="1" applyFill="1" applyFont="1">
      <alignment horizontal="center" vertical="center"/>
    </xf>
    <xf borderId="12" fillId="10" fontId="1" numFmtId="0" xfId="0" applyAlignment="1" applyBorder="1" applyFont="1">
      <alignment horizontal="center" vertical="center"/>
    </xf>
    <xf borderId="16" fillId="8" fontId="16" numFmtId="0" xfId="0" applyAlignment="1" applyBorder="1" applyFont="1">
      <alignment horizontal="center" vertical="center"/>
    </xf>
    <xf borderId="12" fillId="8" fontId="3" numFmtId="0" xfId="0" applyAlignment="1" applyBorder="1" applyFont="1">
      <alignment vertical="center"/>
    </xf>
    <xf borderId="12" fillId="8" fontId="1" numFmtId="0" xfId="0" applyAlignment="1" applyBorder="1" applyFont="1">
      <alignment horizontal="center" readingOrder="0" vertical="center"/>
    </xf>
    <xf borderId="0" fillId="4" fontId="1" numFmtId="0" xfId="0" applyAlignment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13" fillId="11" fontId="1" numFmtId="0" xfId="0" applyAlignment="1" applyBorder="1" applyFill="1" applyFont="1">
      <alignment horizontal="center" readingOrder="0" vertical="center"/>
    </xf>
    <xf borderId="26" fillId="0" fontId="1" numFmtId="0" xfId="0" applyAlignment="1" applyBorder="1" applyFont="1">
      <alignment horizontal="center" readingOrder="0" vertical="center"/>
    </xf>
    <xf borderId="22" fillId="0" fontId="2" numFmtId="0" xfId="0" applyAlignment="1" applyBorder="1" applyFont="1">
      <alignment vertical="center"/>
    </xf>
    <xf borderId="27" fillId="4" fontId="1" numFmtId="0" xfId="0" applyAlignment="1" applyBorder="1" applyFont="1">
      <alignment horizontal="center" readingOrder="0" vertical="center"/>
    </xf>
    <xf borderId="27" fillId="0" fontId="1" numFmtId="0" xfId="0" applyAlignment="1" applyBorder="1" applyFont="1">
      <alignment horizontal="center" readingOrder="0" vertical="center"/>
    </xf>
    <xf borderId="27" fillId="0" fontId="1" numFmtId="0" xfId="0" applyAlignment="1" applyBorder="1" applyFont="1">
      <alignment horizontal="center" vertical="center"/>
    </xf>
    <xf borderId="28" fillId="0" fontId="1" numFmtId="0" xfId="0" applyAlignment="1" applyBorder="1" applyFont="1">
      <alignment horizontal="center" vertical="center"/>
    </xf>
    <xf borderId="21" fillId="0" fontId="3" numFmtId="0" xfId="0" applyAlignment="1" applyBorder="1" applyFont="1">
      <alignment vertical="center"/>
    </xf>
    <xf borderId="29" fillId="0" fontId="3" numFmtId="0" xfId="0" applyAlignment="1" applyBorder="1" applyFont="1">
      <alignment readingOrder="0" vertical="center"/>
    </xf>
    <xf borderId="29" fillId="0" fontId="3" numFmtId="0" xfId="0" applyAlignment="1" applyBorder="1" applyFont="1">
      <alignment vertical="center"/>
    </xf>
    <xf borderId="29" fillId="0" fontId="3" numFmtId="2" xfId="0" applyAlignment="1" applyBorder="1" applyFont="1" applyNumberFormat="1">
      <alignment readingOrder="0" vertical="center"/>
    </xf>
    <xf borderId="29" fillId="0" fontId="17" numFmtId="2" xfId="0" applyAlignment="1" applyBorder="1" applyFont="1" applyNumberFormat="1">
      <alignment vertical="center"/>
    </xf>
    <xf borderId="29" fillId="0" fontId="17" numFmtId="0" xfId="0" applyAlignment="1" applyBorder="1" applyFont="1">
      <alignment readingOrder="0" vertical="center"/>
    </xf>
    <xf borderId="0" fillId="0" fontId="3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76200</xdr:colOff>
      <xdr:row>8</xdr:row>
      <xdr:rowOff>123825</xdr:rowOff>
    </xdr:from>
    <xdr:ext cx="504825" cy="371475"/>
    <xdr:grpSp>
      <xdr:nvGrpSpPr>
        <xdr:cNvPr id="2" name="Shape 2"/>
        <xdr:cNvGrpSpPr/>
      </xdr:nvGrpSpPr>
      <xdr:grpSpPr>
        <a:xfrm>
          <a:off x="5093588" y="3599025"/>
          <a:ext cx="504825" cy="361950"/>
          <a:chOff x="5093588" y="3599025"/>
          <a:chExt cx="504825" cy="361950"/>
        </a:xfrm>
      </xdr:grpSpPr>
      <xdr:cxnSp>
        <xdr:nvCxnSpPr>
          <xdr:cNvPr id="3" name="Shape 3"/>
          <xdr:cNvCxnSpPr/>
        </xdr:nvCxnSpPr>
        <xdr:spPr>
          <a:xfrm rot="10800000">
            <a:off x="5093588" y="3599025"/>
            <a:ext cx="504825" cy="361950"/>
          </a:xfrm>
          <a:prstGeom prst="straightConnector1">
            <a:avLst/>
          </a:prstGeom>
          <a:noFill/>
          <a:ln cap="flat" cmpd="sng" w="9525">
            <a:solidFill>
              <a:schemeClr val="dk1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142875</xdr:colOff>
      <xdr:row>10</xdr:row>
      <xdr:rowOff>114300</xdr:rowOff>
    </xdr:from>
    <xdr:ext cx="581025" cy="38100"/>
    <xdr:grpSp>
      <xdr:nvGrpSpPr>
        <xdr:cNvPr id="2" name="Shape 2"/>
        <xdr:cNvGrpSpPr/>
      </xdr:nvGrpSpPr>
      <xdr:grpSpPr>
        <a:xfrm>
          <a:off x="5055488" y="3780000"/>
          <a:ext cx="581025" cy="0"/>
          <a:chOff x="5055488" y="3780000"/>
          <a:chExt cx="581025" cy="0"/>
        </a:xfrm>
      </xdr:grpSpPr>
      <xdr:cxnSp>
        <xdr:nvCxnSpPr>
          <xdr:cNvPr id="4" name="Shape 4"/>
          <xdr:cNvCxnSpPr/>
        </xdr:nvCxnSpPr>
        <xdr:spPr>
          <a:xfrm>
            <a:off x="5055488" y="3780000"/>
            <a:ext cx="581025" cy="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3</xdr:col>
      <xdr:colOff>133350</xdr:colOff>
      <xdr:row>10</xdr:row>
      <xdr:rowOff>171450</xdr:rowOff>
    </xdr:from>
    <xdr:ext cx="552450" cy="152400"/>
    <xdr:grpSp>
      <xdr:nvGrpSpPr>
        <xdr:cNvPr id="2" name="Shape 2"/>
        <xdr:cNvGrpSpPr/>
      </xdr:nvGrpSpPr>
      <xdr:grpSpPr>
        <a:xfrm>
          <a:off x="5074538" y="3708563"/>
          <a:ext cx="542925" cy="142875"/>
          <a:chOff x="5074538" y="3708563"/>
          <a:chExt cx="542925" cy="142875"/>
        </a:xfrm>
      </xdr:grpSpPr>
      <xdr:cxnSp>
        <xdr:nvCxnSpPr>
          <xdr:cNvPr id="5" name="Shape 5"/>
          <xdr:cNvCxnSpPr/>
        </xdr:nvCxnSpPr>
        <xdr:spPr>
          <a:xfrm>
            <a:off x="5074538" y="3708563"/>
            <a:ext cx="542925" cy="142875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11</xdr:col>
      <xdr:colOff>76200</xdr:colOff>
      <xdr:row>3</xdr:row>
      <xdr:rowOff>104775</xdr:rowOff>
    </xdr:from>
    <xdr:ext cx="581025" cy="38100"/>
    <xdr:grpSp>
      <xdr:nvGrpSpPr>
        <xdr:cNvPr id="2" name="Shape 2"/>
        <xdr:cNvGrpSpPr/>
      </xdr:nvGrpSpPr>
      <xdr:grpSpPr>
        <a:xfrm>
          <a:off x="5055488" y="3780000"/>
          <a:ext cx="581025" cy="0"/>
          <a:chOff x="5055488" y="3780000"/>
          <a:chExt cx="581025" cy="0"/>
        </a:xfrm>
      </xdr:grpSpPr>
      <xdr:cxnSp>
        <xdr:nvCxnSpPr>
          <xdr:cNvPr id="4" name="Shape 4"/>
          <xdr:cNvCxnSpPr/>
        </xdr:nvCxnSpPr>
        <xdr:spPr>
          <a:xfrm>
            <a:off x="5055488" y="3780000"/>
            <a:ext cx="581025" cy="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11</xdr:col>
      <xdr:colOff>57150</xdr:colOff>
      <xdr:row>6</xdr:row>
      <xdr:rowOff>104775</xdr:rowOff>
    </xdr:from>
    <xdr:ext cx="581025" cy="38100"/>
    <xdr:grpSp>
      <xdr:nvGrpSpPr>
        <xdr:cNvPr id="2" name="Shape 2"/>
        <xdr:cNvGrpSpPr/>
      </xdr:nvGrpSpPr>
      <xdr:grpSpPr>
        <a:xfrm>
          <a:off x="5055488" y="3780000"/>
          <a:ext cx="581025" cy="0"/>
          <a:chOff x="5055488" y="3780000"/>
          <a:chExt cx="581025" cy="0"/>
        </a:xfrm>
      </xdr:grpSpPr>
      <xdr:cxnSp>
        <xdr:nvCxnSpPr>
          <xdr:cNvPr id="4" name="Shape 4"/>
          <xdr:cNvCxnSpPr/>
        </xdr:nvCxnSpPr>
        <xdr:spPr>
          <a:xfrm>
            <a:off x="5055488" y="3780000"/>
            <a:ext cx="581025" cy="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18</xdr:col>
      <xdr:colOff>76200</xdr:colOff>
      <xdr:row>4</xdr:row>
      <xdr:rowOff>104775</xdr:rowOff>
    </xdr:from>
    <xdr:ext cx="581025" cy="38100"/>
    <xdr:grpSp>
      <xdr:nvGrpSpPr>
        <xdr:cNvPr id="2" name="Shape 2"/>
        <xdr:cNvGrpSpPr/>
      </xdr:nvGrpSpPr>
      <xdr:grpSpPr>
        <a:xfrm>
          <a:off x="5055488" y="3780000"/>
          <a:ext cx="581025" cy="0"/>
          <a:chOff x="5055488" y="3780000"/>
          <a:chExt cx="581025" cy="0"/>
        </a:xfrm>
      </xdr:grpSpPr>
      <xdr:cxnSp>
        <xdr:nvCxnSpPr>
          <xdr:cNvPr id="6" name="Shape 6"/>
          <xdr:cNvCxnSpPr/>
        </xdr:nvCxnSpPr>
        <xdr:spPr>
          <a:xfrm>
            <a:off x="5055488" y="3780000"/>
            <a:ext cx="581025" cy="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  <xdr:oneCellAnchor>
    <xdr:from>
      <xdr:col>18</xdr:col>
      <xdr:colOff>57150</xdr:colOff>
      <xdr:row>7</xdr:row>
      <xdr:rowOff>104775</xdr:rowOff>
    </xdr:from>
    <xdr:ext cx="581025" cy="38100"/>
    <xdr:grpSp>
      <xdr:nvGrpSpPr>
        <xdr:cNvPr id="2" name="Shape 2"/>
        <xdr:cNvGrpSpPr/>
      </xdr:nvGrpSpPr>
      <xdr:grpSpPr>
        <a:xfrm>
          <a:off x="5055488" y="3780000"/>
          <a:ext cx="581025" cy="0"/>
          <a:chOff x="5055488" y="3780000"/>
          <a:chExt cx="581025" cy="0"/>
        </a:xfrm>
      </xdr:grpSpPr>
      <xdr:cxnSp>
        <xdr:nvCxnSpPr>
          <xdr:cNvPr id="6" name="Shape 6"/>
          <xdr:cNvCxnSpPr/>
        </xdr:nvCxnSpPr>
        <xdr:spPr>
          <a:xfrm>
            <a:off x="5055488" y="3780000"/>
            <a:ext cx="581025" cy="0"/>
          </a:xfrm>
          <a:prstGeom prst="straightConnector1">
            <a:avLst/>
          </a:prstGeom>
          <a:noFill/>
          <a:ln cap="flat" cmpd="sng" w="9525">
            <a:solidFill>
              <a:schemeClr val="accent1"/>
            </a:solidFill>
            <a:prstDash val="solid"/>
            <a:miter lim="800000"/>
            <a:headEnd len="sm" w="sm" type="none"/>
            <a:tailEnd len="med" w="med" type="stealth"/>
          </a:ln>
        </xdr:spPr>
      </xdr:cxnSp>
    </xdr:grpSp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9.14"/>
    <col customWidth="1" min="3" max="3" width="7.71"/>
    <col customWidth="1" min="4" max="4" width="9.0"/>
    <col customWidth="1" min="5" max="5" width="8.86"/>
    <col customWidth="1" min="6" max="6" width="9.71"/>
    <col customWidth="1" min="7" max="7" width="8.29"/>
    <col customWidth="1" min="8" max="8" width="8.86"/>
    <col customWidth="1" min="9" max="9" width="9.0"/>
    <col customWidth="1" min="10" max="10" width="11.14"/>
    <col customWidth="1" min="11" max="11" width="9.43"/>
    <col customWidth="1" min="12" max="12" width="9.14"/>
    <col customWidth="1" min="13" max="15" width="12.0"/>
    <col customWidth="1" min="16" max="16" width="10.57"/>
    <col customWidth="1" min="17" max="18" width="10.86"/>
    <col customWidth="1" min="19" max="23" width="9.14"/>
    <col customWidth="1" min="24" max="24" width="10.86"/>
    <col customWidth="1" min="25" max="28" width="9.14"/>
  </cols>
  <sheetData>
    <row r="1">
      <c r="A1" s="1" t="s">
        <v>0</v>
      </c>
      <c r="B1" s="2"/>
      <c r="C1" s="3">
        <v>42005.0</v>
      </c>
      <c r="D1" s="4">
        <v>11324.0</v>
      </c>
      <c r="E1" s="4">
        <v>42036.0</v>
      </c>
      <c r="F1" s="4">
        <v>46784.0</v>
      </c>
      <c r="G1" s="4">
        <v>42064.0</v>
      </c>
      <c r="H1" s="4">
        <v>11383.0</v>
      </c>
      <c r="I1" s="4">
        <v>42095.0</v>
      </c>
      <c r="J1" s="5">
        <v>11049.0</v>
      </c>
      <c r="K1" s="4">
        <v>42125.0</v>
      </c>
      <c r="L1" s="6">
        <v>11444.0</v>
      </c>
      <c r="M1" s="4">
        <v>42156.0</v>
      </c>
      <c r="N1" s="4">
        <v>11110.0</v>
      </c>
      <c r="O1" s="5">
        <v>42186.0</v>
      </c>
      <c r="P1" s="7">
        <v>45868.0</v>
      </c>
      <c r="Q1" s="7">
        <v>45884.0</v>
      </c>
      <c r="R1" s="7">
        <v>45899.0</v>
      </c>
      <c r="S1" s="8" t="s">
        <v>1</v>
      </c>
      <c r="W1" s="9" t="s">
        <v>2</v>
      </c>
      <c r="X1" s="8" t="s">
        <v>3</v>
      </c>
      <c r="Y1" s="10"/>
    </row>
    <row r="2">
      <c r="A2" s="11" t="s">
        <v>4</v>
      </c>
      <c r="B2" s="12"/>
      <c r="C2" s="13">
        <v>20.0</v>
      </c>
      <c r="D2" s="14">
        <v>20.0</v>
      </c>
      <c r="E2" s="15">
        <v>20.0</v>
      </c>
      <c r="F2" s="15">
        <v>20.0</v>
      </c>
      <c r="G2" s="15">
        <v>20.0</v>
      </c>
      <c r="H2" s="16">
        <v>10.0</v>
      </c>
      <c r="I2" s="15">
        <v>20.0</v>
      </c>
      <c r="J2" s="16">
        <v>20.0</v>
      </c>
      <c r="K2" s="15">
        <v>20.0</v>
      </c>
      <c r="L2" s="15">
        <v>20.0</v>
      </c>
      <c r="M2" s="15">
        <v>20.0</v>
      </c>
      <c r="N2" s="15">
        <v>20.0</v>
      </c>
      <c r="O2" s="17">
        <v>20.0</v>
      </c>
      <c r="P2" s="18"/>
      <c r="Q2" s="18"/>
      <c r="R2" s="19"/>
      <c r="S2" s="8"/>
      <c r="W2" s="20">
        <v>315.0</v>
      </c>
      <c r="X2" s="8" t="s">
        <v>5</v>
      </c>
      <c r="Y2" s="10"/>
    </row>
    <row r="3">
      <c r="A3" s="21" t="s">
        <v>6</v>
      </c>
      <c r="B3" s="20"/>
      <c r="C3" s="22">
        <v>20.0</v>
      </c>
      <c r="D3" s="23">
        <v>20.0</v>
      </c>
      <c r="E3" s="24">
        <v>20.0</v>
      </c>
      <c r="F3" s="24">
        <v>20.0</v>
      </c>
      <c r="G3" s="24">
        <v>20.0</v>
      </c>
      <c r="H3" s="25">
        <v>20.0</v>
      </c>
      <c r="I3" s="26"/>
      <c r="J3" s="8"/>
      <c r="K3" s="26"/>
      <c r="L3" s="26"/>
      <c r="M3" s="26"/>
      <c r="N3" s="26"/>
      <c r="O3" s="27"/>
      <c r="P3" s="18"/>
      <c r="Q3" s="18"/>
      <c r="R3" s="19"/>
      <c r="S3" s="8">
        <v>34.0</v>
      </c>
      <c r="W3" s="20">
        <v>315.0</v>
      </c>
      <c r="X3" s="8" t="s">
        <v>5</v>
      </c>
      <c r="Y3" s="10"/>
    </row>
    <row r="4">
      <c r="A4" s="21" t="s">
        <v>7</v>
      </c>
      <c r="B4" s="20"/>
      <c r="C4" s="22">
        <v>20.0</v>
      </c>
      <c r="D4" s="23">
        <v>20.0</v>
      </c>
      <c r="E4" s="24">
        <v>20.0</v>
      </c>
      <c r="F4" s="24">
        <v>20.0</v>
      </c>
      <c r="G4" s="24">
        <v>20.0</v>
      </c>
      <c r="H4" s="25">
        <v>20.0</v>
      </c>
      <c r="I4" s="25">
        <v>20.0</v>
      </c>
      <c r="J4" s="28">
        <v>20.0</v>
      </c>
      <c r="K4" s="29">
        <v>20.0</v>
      </c>
      <c r="L4" s="26"/>
      <c r="M4" s="26"/>
      <c r="N4" s="26"/>
      <c r="O4" s="27"/>
      <c r="P4" s="18"/>
      <c r="Q4" s="18"/>
      <c r="R4" s="19"/>
      <c r="S4" s="8"/>
      <c r="W4" s="20">
        <v>315.0</v>
      </c>
      <c r="X4" s="8" t="s">
        <v>5</v>
      </c>
      <c r="Y4" s="10"/>
    </row>
    <row r="5">
      <c r="A5" s="21" t="s">
        <v>8</v>
      </c>
      <c r="B5" s="20"/>
      <c r="C5" s="22">
        <v>20.0</v>
      </c>
      <c r="D5" s="23">
        <v>20.0</v>
      </c>
      <c r="E5" s="30"/>
      <c r="F5" s="30"/>
      <c r="G5" s="30"/>
      <c r="H5" s="31"/>
      <c r="I5" s="30"/>
      <c r="J5" s="31"/>
      <c r="K5" s="30"/>
      <c r="L5" s="30"/>
      <c r="M5" s="30"/>
      <c r="N5" s="30"/>
      <c r="O5" s="32"/>
      <c r="P5" s="18"/>
      <c r="Q5" s="18"/>
      <c r="R5" s="19"/>
      <c r="S5" s="8"/>
      <c r="W5" s="20">
        <v>315.0</v>
      </c>
      <c r="X5" s="8" t="s">
        <v>5</v>
      </c>
      <c r="Y5" s="10"/>
    </row>
    <row r="6">
      <c r="A6" s="21" t="s">
        <v>9</v>
      </c>
      <c r="B6" s="20"/>
      <c r="C6" s="22">
        <v>20.0</v>
      </c>
      <c r="D6" s="23">
        <v>20.0</v>
      </c>
      <c r="E6" s="23">
        <v>20.0</v>
      </c>
      <c r="F6" s="23">
        <v>20.0</v>
      </c>
      <c r="G6" s="23">
        <v>20.0</v>
      </c>
      <c r="H6" s="23">
        <v>20.0</v>
      </c>
      <c r="I6" s="23">
        <v>20.0</v>
      </c>
      <c r="J6" s="23">
        <v>20.0</v>
      </c>
      <c r="K6" s="23">
        <v>20.0</v>
      </c>
      <c r="L6" s="23">
        <v>20.0</v>
      </c>
      <c r="M6" s="23">
        <v>20.0</v>
      </c>
      <c r="N6" s="23">
        <v>20.0</v>
      </c>
      <c r="O6" s="25">
        <v>20.0</v>
      </c>
      <c r="P6" s="18"/>
      <c r="Q6" s="18"/>
      <c r="R6" s="19"/>
      <c r="S6" s="8"/>
      <c r="W6" s="20">
        <v>315.0</v>
      </c>
      <c r="X6" s="8" t="s">
        <v>5</v>
      </c>
      <c r="Y6" s="10"/>
    </row>
    <row r="7">
      <c r="A7" s="21" t="s">
        <v>10</v>
      </c>
      <c r="B7" s="20"/>
      <c r="C7" s="22">
        <v>20.0</v>
      </c>
      <c r="D7" s="23">
        <v>20.0</v>
      </c>
      <c r="E7" s="23">
        <v>20.0</v>
      </c>
      <c r="F7" s="23">
        <v>20.0</v>
      </c>
      <c r="G7" s="23">
        <v>20.0</v>
      </c>
      <c r="H7" s="23">
        <v>20.0</v>
      </c>
      <c r="I7" s="23">
        <v>20.0</v>
      </c>
      <c r="J7" s="23">
        <v>20.0</v>
      </c>
      <c r="K7" s="23">
        <v>20.0</v>
      </c>
      <c r="L7" s="23">
        <v>20.0</v>
      </c>
      <c r="M7" s="24">
        <v>20.0</v>
      </c>
      <c r="N7" s="26" t="s">
        <v>11</v>
      </c>
      <c r="O7" s="33"/>
      <c r="P7" s="18"/>
      <c r="Q7" s="18"/>
      <c r="R7" s="19"/>
      <c r="S7" s="8"/>
      <c r="W7" s="20">
        <v>315.0</v>
      </c>
      <c r="X7" s="8" t="s">
        <v>5</v>
      </c>
      <c r="Y7" s="10"/>
    </row>
    <row r="8">
      <c r="A8" s="21" t="s">
        <v>12</v>
      </c>
      <c r="B8" s="20"/>
      <c r="C8" s="22">
        <v>20.0</v>
      </c>
      <c r="D8" s="23">
        <v>20.0</v>
      </c>
      <c r="E8" s="23">
        <v>20.0</v>
      </c>
      <c r="F8" s="23">
        <v>20.0</v>
      </c>
      <c r="G8" s="23">
        <v>20.0</v>
      </c>
      <c r="H8" s="23">
        <v>20.0</v>
      </c>
      <c r="I8" s="23">
        <v>20.0</v>
      </c>
      <c r="J8" s="23">
        <v>20.0</v>
      </c>
      <c r="K8" s="23">
        <v>20.0</v>
      </c>
      <c r="L8" s="23">
        <v>20.0</v>
      </c>
      <c r="M8" s="24">
        <v>20.0</v>
      </c>
      <c r="N8" s="24">
        <v>20.0</v>
      </c>
      <c r="O8" s="34">
        <v>20.0</v>
      </c>
      <c r="P8" s="18"/>
      <c r="Q8" s="18"/>
      <c r="R8" s="19"/>
      <c r="S8" s="8"/>
      <c r="W8" s="20">
        <v>315.0</v>
      </c>
      <c r="X8" s="8" t="s">
        <v>5</v>
      </c>
      <c r="Y8" s="10"/>
    </row>
    <row r="9">
      <c r="A9" s="21" t="s">
        <v>13</v>
      </c>
      <c r="B9" s="20"/>
      <c r="C9" s="35" t="s">
        <v>14</v>
      </c>
      <c r="D9" s="23">
        <v>20.0</v>
      </c>
      <c r="E9" s="23">
        <v>20.0</v>
      </c>
      <c r="F9" s="23">
        <v>20.0</v>
      </c>
      <c r="G9" s="23">
        <v>20.0</v>
      </c>
      <c r="H9" s="23">
        <v>20.0</v>
      </c>
      <c r="I9" s="23">
        <v>20.0</v>
      </c>
      <c r="J9" s="23">
        <v>20.0</v>
      </c>
      <c r="K9" s="23">
        <v>20.0</v>
      </c>
      <c r="L9" s="23">
        <v>20.0</v>
      </c>
      <c r="M9" s="24">
        <v>20.0</v>
      </c>
      <c r="N9" s="24">
        <v>20.0</v>
      </c>
      <c r="O9" s="34">
        <v>20.0</v>
      </c>
      <c r="P9" s="18"/>
      <c r="Q9" s="18"/>
      <c r="R9" s="19"/>
      <c r="S9" s="8"/>
      <c r="W9" s="36">
        <v>315.0</v>
      </c>
      <c r="X9" s="8" t="s">
        <v>15</v>
      </c>
      <c r="Y9" s="10"/>
    </row>
    <row r="10">
      <c r="A10" s="21" t="s">
        <v>16</v>
      </c>
      <c r="B10" s="20"/>
      <c r="C10" s="22">
        <v>20.0</v>
      </c>
      <c r="D10" s="23">
        <v>20.0</v>
      </c>
      <c r="E10" s="23">
        <v>20.0</v>
      </c>
      <c r="F10" s="23">
        <v>20.0</v>
      </c>
      <c r="G10" s="23">
        <v>20.0</v>
      </c>
      <c r="H10" s="23">
        <v>20.0</v>
      </c>
      <c r="I10" s="23">
        <v>20.0</v>
      </c>
      <c r="J10" s="23">
        <v>20.0</v>
      </c>
      <c r="K10" s="23">
        <v>20.0</v>
      </c>
      <c r="L10" s="23">
        <v>20.0</v>
      </c>
      <c r="M10" s="29">
        <v>20.0</v>
      </c>
      <c r="N10" s="29">
        <v>20.0</v>
      </c>
      <c r="O10" s="37">
        <v>20.0</v>
      </c>
      <c r="P10" s="38">
        <v>20.0</v>
      </c>
      <c r="Q10" s="38">
        <v>20.0</v>
      </c>
      <c r="R10" s="19"/>
      <c r="S10" s="8"/>
      <c r="W10" s="20">
        <v>315.0</v>
      </c>
      <c r="X10" s="8" t="s">
        <v>5</v>
      </c>
      <c r="Y10" s="10"/>
    </row>
    <row r="11">
      <c r="A11" s="21" t="s">
        <v>17</v>
      </c>
      <c r="B11" s="20"/>
      <c r="C11" s="22">
        <v>20.0</v>
      </c>
      <c r="D11" s="23">
        <v>20.0</v>
      </c>
      <c r="E11" s="23">
        <v>20.0</v>
      </c>
      <c r="F11" s="23">
        <v>20.0</v>
      </c>
      <c r="G11" s="23">
        <v>20.0</v>
      </c>
      <c r="H11" s="23">
        <v>20.0</v>
      </c>
      <c r="I11" s="23">
        <v>20.0</v>
      </c>
      <c r="J11" s="23">
        <v>20.0</v>
      </c>
      <c r="K11" s="23">
        <v>20.0</v>
      </c>
      <c r="L11" s="23">
        <v>20.0</v>
      </c>
      <c r="M11" s="24">
        <v>20.0</v>
      </c>
      <c r="N11" s="24">
        <v>20.0</v>
      </c>
      <c r="O11" s="34">
        <v>20.0</v>
      </c>
      <c r="P11" s="18"/>
      <c r="Q11" s="18"/>
      <c r="R11" s="19"/>
      <c r="S11" s="8"/>
      <c r="W11" s="20">
        <v>315.0</v>
      </c>
      <c r="X11" s="8" t="s">
        <v>5</v>
      </c>
      <c r="Y11" s="10"/>
    </row>
    <row r="12">
      <c r="A12" s="21" t="s">
        <v>18</v>
      </c>
      <c r="B12" s="20"/>
      <c r="C12" s="22">
        <v>20.0</v>
      </c>
      <c r="D12" s="23">
        <v>20.0</v>
      </c>
      <c r="E12" s="23">
        <v>20.0</v>
      </c>
      <c r="F12" s="23">
        <v>20.0</v>
      </c>
      <c r="G12" s="23">
        <v>20.0</v>
      </c>
      <c r="H12" s="23">
        <v>20.0</v>
      </c>
      <c r="I12" s="23">
        <v>20.0</v>
      </c>
      <c r="J12" s="23">
        <v>20.0</v>
      </c>
      <c r="K12" s="23">
        <v>20.0</v>
      </c>
      <c r="L12" s="23">
        <v>20.0</v>
      </c>
      <c r="M12" s="24">
        <v>20.0</v>
      </c>
      <c r="N12" s="24">
        <v>20.0</v>
      </c>
      <c r="O12" s="39">
        <v>20.0</v>
      </c>
      <c r="P12" s="38">
        <v>20.0</v>
      </c>
      <c r="Q12" s="38">
        <v>20.0</v>
      </c>
      <c r="R12" s="40">
        <v>10.0</v>
      </c>
      <c r="S12" s="8"/>
      <c r="W12" s="20">
        <v>315.0</v>
      </c>
      <c r="X12" s="8" t="s">
        <v>5</v>
      </c>
      <c r="Y12" s="10"/>
    </row>
    <row r="13">
      <c r="A13" s="21" t="s">
        <v>19</v>
      </c>
      <c r="B13" s="20"/>
      <c r="C13" s="22">
        <v>20.0</v>
      </c>
      <c r="D13" s="23">
        <v>20.0</v>
      </c>
      <c r="E13" s="23">
        <v>20.0</v>
      </c>
      <c r="F13" s="23">
        <v>20.0</v>
      </c>
      <c r="G13" s="23">
        <v>20.0</v>
      </c>
      <c r="H13" s="23">
        <v>20.0</v>
      </c>
      <c r="I13" s="23">
        <v>20.0</v>
      </c>
      <c r="J13" s="23">
        <v>20.0</v>
      </c>
      <c r="K13" s="23">
        <v>20.0</v>
      </c>
      <c r="L13" s="23">
        <v>20.0</v>
      </c>
      <c r="M13" s="24">
        <v>20.0</v>
      </c>
      <c r="N13" s="24">
        <v>20.0</v>
      </c>
      <c r="O13" s="34">
        <v>20.0</v>
      </c>
      <c r="P13" s="18"/>
      <c r="Q13" s="18"/>
      <c r="R13" s="19"/>
      <c r="S13" s="8"/>
      <c r="W13" s="20">
        <v>315.0</v>
      </c>
      <c r="X13" s="8" t="s">
        <v>5</v>
      </c>
      <c r="Y13" s="10"/>
    </row>
    <row r="14">
      <c r="A14" s="21" t="s">
        <v>20</v>
      </c>
      <c r="B14" s="20"/>
      <c r="C14" s="22">
        <v>20.0</v>
      </c>
      <c r="D14" s="23">
        <v>20.0</v>
      </c>
      <c r="E14" s="23">
        <v>20.0</v>
      </c>
      <c r="F14" s="23">
        <v>20.0</v>
      </c>
      <c r="G14" s="23">
        <v>20.0</v>
      </c>
      <c r="H14" s="23">
        <v>20.0</v>
      </c>
      <c r="I14" s="23">
        <v>20.0</v>
      </c>
      <c r="J14" s="23">
        <v>20.0</v>
      </c>
      <c r="K14" s="23">
        <v>20.0</v>
      </c>
      <c r="L14" s="23">
        <v>20.0</v>
      </c>
      <c r="M14" s="24">
        <v>20.0</v>
      </c>
      <c r="N14" s="24">
        <v>20.0</v>
      </c>
      <c r="O14" s="34">
        <v>20.0</v>
      </c>
      <c r="P14" s="18"/>
      <c r="Q14" s="18"/>
      <c r="R14" s="19"/>
      <c r="S14" s="8">
        <v>34.0</v>
      </c>
      <c r="W14" s="20">
        <v>315.0</v>
      </c>
      <c r="X14" s="8" t="s">
        <v>5</v>
      </c>
      <c r="Y14" s="10"/>
    </row>
    <row r="15">
      <c r="A15" s="21" t="s">
        <v>21</v>
      </c>
      <c r="B15" s="20"/>
      <c r="C15" s="22">
        <v>20.0</v>
      </c>
      <c r="D15" s="23">
        <v>20.0</v>
      </c>
      <c r="E15" s="23">
        <v>20.0</v>
      </c>
      <c r="F15" s="23">
        <v>20.0</v>
      </c>
      <c r="G15" s="23">
        <v>20.0</v>
      </c>
      <c r="H15" s="23">
        <v>20.0</v>
      </c>
      <c r="I15" s="23">
        <v>20.0</v>
      </c>
      <c r="J15" s="23">
        <v>20.0</v>
      </c>
      <c r="K15" s="23">
        <v>20.0</v>
      </c>
      <c r="L15" s="23">
        <v>20.0</v>
      </c>
      <c r="M15" s="24">
        <v>20.0</v>
      </c>
      <c r="N15" s="29">
        <v>20.0</v>
      </c>
      <c r="O15" s="37">
        <v>20.0</v>
      </c>
      <c r="P15" s="18"/>
      <c r="Q15" s="18"/>
      <c r="R15" s="19"/>
      <c r="S15" s="8"/>
      <c r="W15" s="20">
        <v>315.0</v>
      </c>
      <c r="X15" s="8" t="s">
        <v>5</v>
      </c>
      <c r="Y15" s="10"/>
    </row>
    <row r="16">
      <c r="A16" s="21" t="s">
        <v>22</v>
      </c>
      <c r="B16" s="20"/>
      <c r="C16" s="41"/>
      <c r="D16" s="42"/>
      <c r="E16" s="26"/>
      <c r="F16" s="26"/>
      <c r="G16" s="26"/>
      <c r="H16" s="8"/>
      <c r="I16" s="26"/>
      <c r="J16" s="8"/>
      <c r="K16" s="26"/>
      <c r="L16" s="26"/>
      <c r="M16" s="26"/>
      <c r="N16" s="26"/>
      <c r="O16" s="27"/>
      <c r="P16" s="18"/>
      <c r="Q16" s="18"/>
      <c r="R16" s="19"/>
      <c r="S16" s="8"/>
      <c r="W16" s="20">
        <v>315.0</v>
      </c>
      <c r="X16" s="8">
        <v>1.0</v>
      </c>
      <c r="Y16" s="10"/>
    </row>
    <row r="17">
      <c r="A17" s="21" t="s">
        <v>23</v>
      </c>
      <c r="B17" s="20"/>
      <c r="C17" s="35" t="s">
        <v>14</v>
      </c>
      <c r="D17" s="23">
        <v>20.0</v>
      </c>
      <c r="E17" s="24">
        <v>20.0</v>
      </c>
      <c r="F17" s="24">
        <v>20.0</v>
      </c>
      <c r="G17" s="24">
        <v>20.0</v>
      </c>
      <c r="H17" s="25">
        <v>20.0</v>
      </c>
      <c r="I17" s="24">
        <v>20.0</v>
      </c>
      <c r="J17" s="25">
        <v>20.0</v>
      </c>
      <c r="K17" s="26"/>
      <c r="L17" s="26"/>
      <c r="M17" s="26"/>
      <c r="N17" s="26"/>
      <c r="O17" s="27"/>
      <c r="P17" s="18"/>
      <c r="Q17" s="18"/>
      <c r="R17" s="19"/>
      <c r="S17" s="8"/>
      <c r="W17" s="43">
        <v>315.0</v>
      </c>
      <c r="X17" s="8" t="s">
        <v>15</v>
      </c>
      <c r="Y17" s="10"/>
    </row>
    <row r="18">
      <c r="A18" s="21" t="s">
        <v>24</v>
      </c>
      <c r="B18" s="20"/>
      <c r="C18" s="22">
        <v>20.0</v>
      </c>
      <c r="D18" s="23">
        <v>20.0</v>
      </c>
      <c r="E18" s="44"/>
      <c r="F18" s="30"/>
      <c r="G18" s="30"/>
      <c r="H18" s="31"/>
      <c r="I18" s="30"/>
      <c r="J18" s="31"/>
      <c r="K18" s="30"/>
      <c r="L18" s="30"/>
      <c r="M18" s="30"/>
      <c r="N18" s="30"/>
      <c r="O18" s="32"/>
      <c r="P18" s="18"/>
      <c r="Q18" s="18"/>
      <c r="R18" s="19"/>
      <c r="S18" s="8"/>
      <c r="W18" s="20">
        <v>315.0</v>
      </c>
      <c r="X18" s="8" t="s">
        <v>5</v>
      </c>
      <c r="Y18" s="10"/>
    </row>
    <row r="19">
      <c r="A19" s="21" t="s">
        <v>25</v>
      </c>
      <c r="B19" s="20"/>
      <c r="C19" s="22">
        <v>20.0</v>
      </c>
      <c r="D19" s="23">
        <v>20.0</v>
      </c>
      <c r="E19" s="24">
        <v>20.0</v>
      </c>
      <c r="F19" s="24">
        <v>20.0</v>
      </c>
      <c r="G19" s="24">
        <v>20.0</v>
      </c>
      <c r="H19" s="25">
        <v>20.0</v>
      </c>
      <c r="I19" s="24">
        <v>20.0</v>
      </c>
      <c r="J19" s="25">
        <v>20.0</v>
      </c>
      <c r="K19" s="24">
        <v>20.0</v>
      </c>
      <c r="L19" s="24">
        <v>20.0</v>
      </c>
      <c r="M19" s="24">
        <v>20.0</v>
      </c>
      <c r="N19" s="24">
        <v>20.0</v>
      </c>
      <c r="O19" s="27"/>
      <c r="P19" s="18"/>
      <c r="Q19" s="18"/>
      <c r="R19" s="19"/>
      <c r="S19" s="8"/>
      <c r="W19" s="20">
        <v>315.0</v>
      </c>
      <c r="X19" s="8" t="s">
        <v>5</v>
      </c>
      <c r="Y19" s="10"/>
    </row>
    <row r="20">
      <c r="A20" s="21" t="s">
        <v>26</v>
      </c>
      <c r="B20" s="20"/>
      <c r="C20" s="22">
        <v>20.0</v>
      </c>
      <c r="D20" s="23">
        <v>20.0</v>
      </c>
      <c r="E20" s="24">
        <v>20.0</v>
      </c>
      <c r="F20" s="24">
        <v>20.0</v>
      </c>
      <c r="G20" s="24">
        <v>20.0</v>
      </c>
      <c r="H20" s="24">
        <v>20.0</v>
      </c>
      <c r="I20" s="24">
        <v>20.0</v>
      </c>
      <c r="J20" s="25">
        <v>20.0</v>
      </c>
      <c r="K20" s="24">
        <v>20.0</v>
      </c>
      <c r="L20" s="26"/>
      <c r="M20" s="26"/>
      <c r="N20" s="26"/>
      <c r="O20" s="27"/>
      <c r="P20" s="18"/>
      <c r="Q20" s="18"/>
      <c r="R20" s="19"/>
      <c r="S20" s="8"/>
      <c r="W20" s="20">
        <v>315.0</v>
      </c>
      <c r="X20" s="8" t="s">
        <v>5</v>
      </c>
      <c r="Y20" s="10"/>
    </row>
    <row r="21" ht="15.75" customHeight="1">
      <c r="A21" s="21" t="s">
        <v>27</v>
      </c>
      <c r="B21" s="20"/>
      <c r="C21" s="22">
        <v>20.0</v>
      </c>
      <c r="D21" s="23">
        <v>20.0</v>
      </c>
      <c r="E21" s="24">
        <v>20.0</v>
      </c>
      <c r="F21" s="24">
        <v>20.0</v>
      </c>
      <c r="G21" s="24">
        <v>20.0</v>
      </c>
      <c r="H21" s="24">
        <v>20.0</v>
      </c>
      <c r="I21" s="24">
        <v>20.0</v>
      </c>
      <c r="J21" s="25">
        <v>20.0</v>
      </c>
      <c r="K21" s="24">
        <v>20.0</v>
      </c>
      <c r="L21" s="24">
        <v>20.0</v>
      </c>
      <c r="M21" s="24">
        <v>20.0</v>
      </c>
      <c r="N21" s="24">
        <v>20.0</v>
      </c>
      <c r="O21" s="27"/>
      <c r="P21" s="18"/>
      <c r="Q21" s="18"/>
      <c r="R21" s="19"/>
      <c r="S21" s="8"/>
      <c r="W21" s="20">
        <v>315.0</v>
      </c>
      <c r="X21" s="8" t="s">
        <v>5</v>
      </c>
      <c r="Y21" s="10"/>
    </row>
    <row r="22" ht="15.75" customHeight="1">
      <c r="A22" s="21" t="s">
        <v>28</v>
      </c>
      <c r="B22" s="20"/>
      <c r="C22" s="35" t="s">
        <v>14</v>
      </c>
      <c r="D22" s="23">
        <v>20.0</v>
      </c>
      <c r="E22" s="24">
        <v>20.0</v>
      </c>
      <c r="F22" s="24">
        <v>20.0</v>
      </c>
      <c r="G22" s="24">
        <v>20.0</v>
      </c>
      <c r="H22" s="24">
        <v>20.0</v>
      </c>
      <c r="I22" s="24">
        <v>20.0</v>
      </c>
      <c r="J22" s="25">
        <v>20.0</v>
      </c>
      <c r="K22" s="26"/>
      <c r="L22" s="26"/>
      <c r="M22" s="26"/>
      <c r="N22" s="26"/>
      <c r="O22" s="33"/>
      <c r="P22" s="18"/>
      <c r="Q22" s="18"/>
      <c r="R22" s="19"/>
      <c r="S22" s="8"/>
      <c r="W22" s="36">
        <v>315.0</v>
      </c>
      <c r="X22" s="8" t="s">
        <v>15</v>
      </c>
      <c r="Y22" s="10"/>
    </row>
    <row r="23" ht="15.75" customHeight="1">
      <c r="A23" s="21" t="s">
        <v>29</v>
      </c>
      <c r="B23" s="20"/>
      <c r="C23" s="22">
        <v>20.0</v>
      </c>
      <c r="D23" s="23">
        <v>20.0</v>
      </c>
      <c r="E23" s="24">
        <v>20.0</v>
      </c>
      <c r="F23" s="24">
        <v>20.0</v>
      </c>
      <c r="G23" s="24">
        <v>20.0</v>
      </c>
      <c r="H23" s="24">
        <v>20.0</v>
      </c>
      <c r="I23" s="29">
        <v>20.0</v>
      </c>
      <c r="J23" s="8"/>
      <c r="K23" s="26"/>
      <c r="L23" s="26"/>
      <c r="M23" s="26"/>
      <c r="N23" s="26"/>
      <c r="O23" s="27"/>
      <c r="P23" s="18"/>
      <c r="Q23" s="18"/>
      <c r="R23" s="19"/>
      <c r="S23" s="8">
        <v>35.0</v>
      </c>
      <c r="W23" s="20">
        <v>315.0</v>
      </c>
      <c r="X23" s="8"/>
      <c r="Y23" s="10"/>
    </row>
    <row r="24" ht="15.75" customHeight="1">
      <c r="A24" s="21" t="s">
        <v>30</v>
      </c>
      <c r="B24" s="20"/>
      <c r="C24" s="22">
        <v>20.0</v>
      </c>
      <c r="D24" s="23">
        <v>20.0</v>
      </c>
      <c r="E24" s="24">
        <v>20.0</v>
      </c>
      <c r="F24" s="24">
        <v>20.0</v>
      </c>
      <c r="G24" s="24">
        <v>20.0</v>
      </c>
      <c r="H24" s="24">
        <v>20.0</v>
      </c>
      <c r="I24" s="24">
        <v>20.0</v>
      </c>
      <c r="J24" s="24">
        <v>20.0</v>
      </c>
      <c r="K24" s="24">
        <v>20.0</v>
      </c>
      <c r="L24" s="24">
        <v>20.0</v>
      </c>
      <c r="M24" s="24">
        <v>20.0</v>
      </c>
      <c r="N24" s="45"/>
      <c r="O24" s="33"/>
      <c r="P24" s="18"/>
      <c r="Q24" s="18"/>
      <c r="R24" s="19"/>
      <c r="S24" s="8"/>
      <c r="W24" s="20">
        <v>315.0</v>
      </c>
      <c r="X24" s="8" t="s">
        <v>5</v>
      </c>
      <c r="Y24" s="10"/>
    </row>
    <row r="25" ht="15.75" customHeight="1">
      <c r="A25" s="21" t="s">
        <v>31</v>
      </c>
      <c r="B25" s="20"/>
      <c r="C25" s="22">
        <v>20.0</v>
      </c>
      <c r="D25" s="23">
        <v>20.0</v>
      </c>
      <c r="E25" s="24">
        <v>20.0</v>
      </c>
      <c r="F25" s="24">
        <v>20.0</v>
      </c>
      <c r="G25" s="24">
        <v>20.0</v>
      </c>
      <c r="H25" s="24">
        <v>20.0</v>
      </c>
      <c r="I25" s="24">
        <v>20.0</v>
      </c>
      <c r="J25" s="24">
        <v>20.0</v>
      </c>
      <c r="K25" s="24">
        <v>20.0</v>
      </c>
      <c r="L25" s="24">
        <v>20.0</v>
      </c>
      <c r="M25" s="24">
        <v>20.0</v>
      </c>
      <c r="N25" s="26"/>
      <c r="O25" s="32"/>
      <c r="P25" s="18"/>
      <c r="Q25" s="18"/>
      <c r="R25" s="19"/>
      <c r="S25" s="8"/>
      <c r="W25" s="20">
        <v>315.0</v>
      </c>
      <c r="X25" s="8" t="s">
        <v>5</v>
      </c>
      <c r="Y25" s="10"/>
    </row>
    <row r="26" ht="15.75" customHeight="1">
      <c r="A26" s="21" t="s">
        <v>32</v>
      </c>
      <c r="B26" s="20"/>
      <c r="C26" s="35" t="s">
        <v>14</v>
      </c>
      <c r="D26" s="23">
        <v>20.0</v>
      </c>
      <c r="E26" s="24">
        <v>20.0</v>
      </c>
      <c r="F26" s="24">
        <v>20.0</v>
      </c>
      <c r="G26" s="24">
        <v>20.0</v>
      </c>
      <c r="H26" s="24">
        <v>20.0</v>
      </c>
      <c r="I26" s="26"/>
      <c r="J26" s="8"/>
      <c r="K26" s="26"/>
      <c r="L26" s="26"/>
      <c r="M26" s="26"/>
      <c r="N26" s="46"/>
      <c r="O26" s="33"/>
      <c r="P26" s="18"/>
      <c r="Q26" s="18"/>
      <c r="R26" s="19"/>
      <c r="S26" s="8"/>
      <c r="W26" s="36">
        <v>315.0</v>
      </c>
      <c r="X26" s="8" t="s">
        <v>15</v>
      </c>
      <c r="Y26" s="10"/>
    </row>
    <row r="27" ht="15.75" customHeight="1">
      <c r="A27" s="21" t="s">
        <v>33</v>
      </c>
      <c r="B27" s="20"/>
      <c r="C27" s="22">
        <v>20.0</v>
      </c>
      <c r="D27" s="23">
        <v>20.0</v>
      </c>
      <c r="E27" s="24">
        <v>20.0</v>
      </c>
      <c r="F27" s="24">
        <v>20.0</v>
      </c>
      <c r="G27" s="24">
        <v>20.0</v>
      </c>
      <c r="H27" s="24">
        <v>20.0</v>
      </c>
      <c r="I27" s="24">
        <v>20.0</v>
      </c>
      <c r="J27" s="25">
        <v>20.0</v>
      </c>
      <c r="K27" s="26"/>
      <c r="L27" s="26"/>
      <c r="M27" s="26"/>
      <c r="N27" s="26"/>
      <c r="O27" s="27"/>
      <c r="P27" s="18"/>
      <c r="Q27" s="18"/>
      <c r="R27" s="19"/>
      <c r="S27" s="8"/>
      <c r="W27" s="20">
        <v>315.0</v>
      </c>
      <c r="X27" s="8" t="s">
        <v>5</v>
      </c>
      <c r="Y27" s="10"/>
    </row>
    <row r="28" ht="15.75" customHeight="1">
      <c r="A28" s="47" t="s">
        <v>34</v>
      </c>
      <c r="B28" s="20"/>
      <c r="C28" s="35" t="s">
        <v>14</v>
      </c>
      <c r="D28" s="48" t="s">
        <v>14</v>
      </c>
      <c r="E28" s="24">
        <v>20.0</v>
      </c>
      <c r="F28" s="24">
        <v>20.0</v>
      </c>
      <c r="G28" s="24">
        <v>20.0</v>
      </c>
      <c r="H28" s="24">
        <v>20.0</v>
      </c>
      <c r="I28" s="24">
        <v>20.0</v>
      </c>
      <c r="J28" s="25">
        <v>20.0</v>
      </c>
      <c r="K28" s="24">
        <v>20.0</v>
      </c>
      <c r="L28" s="24">
        <v>20.0</v>
      </c>
      <c r="M28" s="24">
        <v>20.0</v>
      </c>
      <c r="N28" s="24">
        <v>20.0</v>
      </c>
      <c r="O28" s="37">
        <v>20.0</v>
      </c>
      <c r="P28" s="18"/>
      <c r="Q28" s="18"/>
      <c r="R28" s="19"/>
      <c r="S28" s="8"/>
      <c r="W28" s="36">
        <v>315.0</v>
      </c>
      <c r="X28" s="8" t="s">
        <v>15</v>
      </c>
      <c r="Y28" s="10"/>
    </row>
    <row r="29" ht="15.75" customHeight="1">
      <c r="A29" s="21" t="s">
        <v>35</v>
      </c>
      <c r="B29" s="20"/>
      <c r="C29" s="22">
        <v>20.0</v>
      </c>
      <c r="D29" s="23">
        <v>20.0</v>
      </c>
      <c r="E29" s="24">
        <v>20.0</v>
      </c>
      <c r="F29" s="24">
        <v>20.0</v>
      </c>
      <c r="G29" s="24">
        <v>20.0</v>
      </c>
      <c r="H29" s="24">
        <v>20.0</v>
      </c>
      <c r="I29" s="24">
        <v>20.0</v>
      </c>
      <c r="J29" s="25">
        <v>20.0</v>
      </c>
      <c r="K29" s="24">
        <v>20.0</v>
      </c>
      <c r="L29" s="24">
        <v>20.0</v>
      </c>
      <c r="M29" s="29"/>
      <c r="N29" s="29"/>
      <c r="O29" s="37"/>
      <c r="P29" s="18"/>
      <c r="Q29" s="18"/>
      <c r="R29" s="19"/>
      <c r="S29" s="8"/>
      <c r="W29" s="20">
        <v>315.0</v>
      </c>
      <c r="X29" s="8" t="s">
        <v>5</v>
      </c>
      <c r="Y29" s="10"/>
    </row>
    <row r="30" ht="15.75" customHeight="1">
      <c r="A30" s="21" t="s">
        <v>36</v>
      </c>
      <c r="B30" s="20"/>
      <c r="C30" s="22">
        <v>20.0</v>
      </c>
      <c r="D30" s="23">
        <v>20.0</v>
      </c>
      <c r="E30" s="24">
        <v>20.0</v>
      </c>
      <c r="F30" s="24">
        <v>20.0</v>
      </c>
      <c r="G30" s="24">
        <v>20.0</v>
      </c>
      <c r="H30" s="24">
        <v>20.0</v>
      </c>
      <c r="I30" s="26"/>
      <c r="J30" s="8"/>
      <c r="K30" s="26"/>
      <c r="L30" s="26"/>
      <c r="M30" s="26"/>
      <c r="N30" s="26"/>
      <c r="O30" s="27"/>
      <c r="P30" s="18"/>
      <c r="Q30" s="18"/>
      <c r="R30" s="19"/>
      <c r="S30" s="8"/>
      <c r="W30" s="20">
        <v>315.0</v>
      </c>
      <c r="X30" s="8" t="s">
        <v>5</v>
      </c>
      <c r="Y30" s="10"/>
    </row>
    <row r="31" ht="15.75" customHeight="1">
      <c r="A31" s="21" t="s">
        <v>37</v>
      </c>
      <c r="B31" s="20"/>
      <c r="C31" s="22">
        <v>20.0</v>
      </c>
      <c r="D31" s="23">
        <v>20.0</v>
      </c>
      <c r="E31" s="24">
        <v>20.0</v>
      </c>
      <c r="F31" s="24">
        <v>20.0</v>
      </c>
      <c r="G31" s="24">
        <v>20.0</v>
      </c>
      <c r="H31" s="24">
        <v>20.0</v>
      </c>
      <c r="I31" s="24">
        <v>20.0</v>
      </c>
      <c r="J31" s="25">
        <v>20.0</v>
      </c>
      <c r="K31" s="24">
        <v>20.0</v>
      </c>
      <c r="L31" s="24">
        <v>20.0</v>
      </c>
      <c r="M31" s="26"/>
      <c r="N31" s="26"/>
      <c r="O31" s="27"/>
      <c r="P31" s="18"/>
      <c r="Q31" s="18"/>
      <c r="R31" s="19"/>
      <c r="S31" s="8"/>
      <c r="W31" s="20">
        <v>315.0</v>
      </c>
      <c r="X31" s="8" t="s">
        <v>5</v>
      </c>
      <c r="Y31" s="10"/>
    </row>
    <row r="32" ht="15.75" customHeight="1">
      <c r="A32" s="21" t="s">
        <v>38</v>
      </c>
      <c r="B32" s="20"/>
      <c r="C32" s="22">
        <v>20.0</v>
      </c>
      <c r="D32" s="23">
        <v>20.0</v>
      </c>
      <c r="E32" s="24">
        <v>20.0</v>
      </c>
      <c r="F32" s="24">
        <v>20.0</v>
      </c>
      <c r="G32" s="24">
        <v>20.0</v>
      </c>
      <c r="H32" s="24">
        <v>20.0</v>
      </c>
      <c r="I32" s="24">
        <v>20.0</v>
      </c>
      <c r="J32" s="25">
        <v>20.0</v>
      </c>
      <c r="K32" s="29">
        <v>20.0</v>
      </c>
      <c r="L32" s="29">
        <v>20.0</v>
      </c>
      <c r="M32" s="49"/>
      <c r="N32" s="49"/>
      <c r="O32" s="50"/>
      <c r="P32" s="18"/>
      <c r="Q32" s="18"/>
      <c r="R32" s="19"/>
      <c r="S32" s="8"/>
      <c r="W32" s="20">
        <v>315.0</v>
      </c>
      <c r="X32" s="8" t="s">
        <v>5</v>
      </c>
      <c r="Y32" s="10"/>
    </row>
    <row r="33" ht="15.75" customHeight="1">
      <c r="A33" s="21" t="s">
        <v>39</v>
      </c>
      <c r="B33" s="20"/>
      <c r="C33" s="35" t="s">
        <v>14</v>
      </c>
      <c r="D33" s="48" t="s">
        <v>14</v>
      </c>
      <c r="E33" s="24">
        <v>20.0</v>
      </c>
      <c r="F33" s="24">
        <v>20.0</v>
      </c>
      <c r="G33" s="24">
        <v>20.0</v>
      </c>
      <c r="H33" s="24">
        <v>20.0</v>
      </c>
      <c r="I33" s="24">
        <v>20.0</v>
      </c>
      <c r="J33" s="25">
        <v>20.0</v>
      </c>
      <c r="K33" s="24">
        <v>20.0</v>
      </c>
      <c r="L33" s="24">
        <v>20.0</v>
      </c>
      <c r="M33" s="29">
        <v>20.0</v>
      </c>
      <c r="N33" s="29">
        <v>20.0</v>
      </c>
      <c r="O33" s="37">
        <v>20.0</v>
      </c>
      <c r="P33" s="38">
        <v>20.0</v>
      </c>
      <c r="Q33" s="38">
        <v>20.0</v>
      </c>
      <c r="R33" s="19"/>
      <c r="S33" s="8"/>
      <c r="W33" s="20"/>
      <c r="X33" s="8"/>
      <c r="Y33" s="10"/>
    </row>
    <row r="34" ht="15.75" customHeight="1">
      <c r="A34" s="21" t="s">
        <v>40</v>
      </c>
      <c r="B34" s="20"/>
      <c r="C34" s="35" t="s">
        <v>14</v>
      </c>
      <c r="D34" s="48" t="s">
        <v>14</v>
      </c>
      <c r="E34" s="51" t="s">
        <v>14</v>
      </c>
      <c r="F34" s="51" t="s">
        <v>14</v>
      </c>
      <c r="G34" s="24">
        <v>20.0</v>
      </c>
      <c r="H34" s="24">
        <v>20.0</v>
      </c>
      <c r="I34" s="24">
        <v>20.0</v>
      </c>
      <c r="J34" s="24">
        <v>20.0</v>
      </c>
      <c r="K34" s="24">
        <v>20.0</v>
      </c>
      <c r="L34" s="24">
        <v>20.0</v>
      </c>
      <c r="M34" s="24">
        <v>20.0</v>
      </c>
      <c r="N34" s="24">
        <v>20.0</v>
      </c>
      <c r="O34" s="34">
        <v>20.0</v>
      </c>
      <c r="P34" s="52"/>
      <c r="Q34" s="52"/>
      <c r="R34" s="53"/>
      <c r="S34" s="8"/>
      <c r="X34" s="8"/>
      <c r="Y34" s="10"/>
    </row>
    <row r="35" ht="15.75" customHeight="1">
      <c r="A35" s="54"/>
      <c r="B35" s="55"/>
      <c r="C35" s="56"/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S35" s="8"/>
      <c r="W35" s="20">
        <f>SUM(W2:W8,W10:W16,W18:W21,W17,W23:W25,W27,W29:W32)</f>
        <v>8505</v>
      </c>
      <c r="Y35" s="10"/>
    </row>
    <row r="36" ht="15.75" customHeight="1">
      <c r="B36" s="57" t="s">
        <v>41</v>
      </c>
      <c r="C36" s="58">
        <f>SUM(C2:C33)</f>
        <v>500</v>
      </c>
      <c r="D36" s="58">
        <f>SUM(D2:D29)</f>
        <v>520</v>
      </c>
      <c r="E36" s="58">
        <f t="shared" ref="E36:J36" si="1">SUM(E2:E33)</f>
        <v>580</v>
      </c>
      <c r="F36" s="58">
        <f t="shared" si="1"/>
        <v>580</v>
      </c>
      <c r="G36" s="58">
        <f t="shared" si="1"/>
        <v>580</v>
      </c>
      <c r="H36" s="58">
        <f t="shared" si="1"/>
        <v>570</v>
      </c>
      <c r="I36" s="58">
        <f t="shared" si="1"/>
        <v>520</v>
      </c>
      <c r="J36" s="58">
        <f t="shared" si="1"/>
        <v>500</v>
      </c>
      <c r="K36" s="58">
        <f t="shared" ref="K36:R36" si="2">SUM(K2:K34)</f>
        <v>460</v>
      </c>
      <c r="L36" s="58">
        <f t="shared" si="2"/>
        <v>420</v>
      </c>
      <c r="M36" s="58">
        <f t="shared" si="2"/>
        <v>360</v>
      </c>
      <c r="N36" s="58">
        <f t="shared" si="2"/>
        <v>300</v>
      </c>
      <c r="O36" s="58">
        <f t="shared" si="2"/>
        <v>260</v>
      </c>
      <c r="P36" s="58">
        <f t="shared" si="2"/>
        <v>60</v>
      </c>
      <c r="Q36" s="58">
        <f t="shared" si="2"/>
        <v>60</v>
      </c>
      <c r="R36" s="58">
        <f t="shared" si="2"/>
        <v>10</v>
      </c>
      <c r="S36" s="8"/>
      <c r="Y36" s="10"/>
    </row>
    <row r="37" ht="15.75" customHeight="1"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S37" s="8"/>
      <c r="Y37" s="20"/>
    </row>
    <row r="38" ht="15.75" customHeight="1">
      <c r="A38" s="20"/>
      <c r="B38" s="20" t="s">
        <v>42</v>
      </c>
      <c r="C38" s="8">
        <v>60.0</v>
      </c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S38" s="8"/>
    </row>
    <row r="39" ht="15.75" customHeight="1">
      <c r="A39" s="20"/>
      <c r="B39" s="20" t="s">
        <v>43</v>
      </c>
      <c r="C39" s="8">
        <v>40.0</v>
      </c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S39" s="8"/>
    </row>
    <row r="40" ht="15.75" customHeight="1">
      <c r="A40" s="20"/>
      <c r="B40" s="20" t="s">
        <v>44</v>
      </c>
      <c r="C40" s="8">
        <v>60.0</v>
      </c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S40" s="8"/>
    </row>
    <row r="41" ht="15.75" customHeight="1">
      <c r="A41" s="20"/>
      <c r="B41" s="20" t="s">
        <v>45</v>
      </c>
      <c r="C41" s="8">
        <v>60.0</v>
      </c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S41" s="8"/>
    </row>
    <row r="42" ht="15.75" customHeight="1">
      <c r="A42" s="20"/>
      <c r="B42" s="20" t="s">
        <v>46</v>
      </c>
      <c r="C42" s="8">
        <v>20.0</v>
      </c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S42" s="8"/>
    </row>
    <row r="43" ht="15.75" customHeight="1">
      <c r="A43" s="20"/>
      <c r="B43" s="20" t="s">
        <v>47</v>
      </c>
      <c r="C43" s="8">
        <v>40.0</v>
      </c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S43" s="8"/>
    </row>
    <row r="44" ht="15.75" customHeight="1">
      <c r="A44" s="20"/>
      <c r="B44" s="20" t="s">
        <v>48</v>
      </c>
      <c r="C44" s="8">
        <v>100.0</v>
      </c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S44" s="8"/>
    </row>
    <row r="45" ht="15.75" customHeight="1">
      <c r="A45" s="20"/>
      <c r="B45" s="20" t="s">
        <v>49</v>
      </c>
      <c r="C45" s="8">
        <v>20.0</v>
      </c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S45" s="8"/>
    </row>
    <row r="46" ht="15.75" customHeight="1">
      <c r="A46" s="20"/>
      <c r="B46" s="20" t="s">
        <v>50</v>
      </c>
      <c r="C46" s="8">
        <v>60.0</v>
      </c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S46" s="8"/>
    </row>
    <row r="47" ht="15.75" customHeight="1">
      <c r="A47" s="20"/>
      <c r="B47" s="20" t="s">
        <v>51</v>
      </c>
      <c r="C47" s="8">
        <v>40.0</v>
      </c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S47" s="8"/>
    </row>
    <row r="48" ht="15.75" customHeight="1">
      <c r="A48" s="20"/>
      <c r="B48" s="20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S48" s="8"/>
    </row>
    <row r="49" ht="15.75" customHeight="1">
      <c r="A49" s="20"/>
      <c r="B49" s="20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S49" s="8"/>
    </row>
    <row r="50" ht="15.75" customHeight="1">
      <c r="A50" s="8" t="s">
        <v>52</v>
      </c>
      <c r="C50" s="8">
        <f>SUM(C36:C49)</f>
        <v>1000</v>
      </c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S50" s="8"/>
    </row>
    <row r="51" ht="15.75" customHeight="1">
      <c r="A51" s="20"/>
      <c r="B51" s="20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S51" s="8"/>
    </row>
    <row r="52" ht="15.75" customHeight="1">
      <c r="A52" s="20"/>
      <c r="B52" s="20" t="s">
        <v>53</v>
      </c>
      <c r="C52" s="8">
        <f>SUM(C50,W35)</f>
        <v>9505</v>
      </c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S52" s="8"/>
    </row>
    <row r="53" ht="15.75" customHeight="1">
      <c r="B53" s="59" t="s">
        <v>54</v>
      </c>
      <c r="C53" s="60">
        <v>7000.0</v>
      </c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S53" s="8"/>
    </row>
    <row r="54" ht="15.75" customHeight="1">
      <c r="C54" s="58">
        <f>C52-C53</f>
        <v>2505</v>
      </c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S54" s="8"/>
    </row>
    <row r="55" ht="15.75" customHeight="1"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S55" s="8"/>
    </row>
    <row r="56" ht="15.75" customHeight="1"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S56" s="8"/>
    </row>
    <row r="57" ht="15.75" customHeight="1"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S57" s="8"/>
    </row>
    <row r="58" ht="15.75" customHeight="1"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S58" s="8"/>
    </row>
    <row r="59" ht="15.75" customHeight="1"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S59" s="8"/>
    </row>
    <row r="60" ht="15.75" customHeight="1"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S60" s="8"/>
    </row>
    <row r="61" ht="15.75" customHeight="1"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S61" s="8"/>
    </row>
    <row r="62" ht="15.75" customHeight="1"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S62" s="8"/>
    </row>
    <row r="63" ht="15.75" customHeight="1"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S63" s="8"/>
    </row>
    <row r="64" ht="15.75" customHeight="1"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S64" s="8"/>
    </row>
    <row r="65" ht="15.75" customHeight="1"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S65" s="8"/>
    </row>
    <row r="66" ht="15.75" customHeight="1"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S66" s="8"/>
    </row>
    <row r="67" ht="15.75" customHeight="1"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S67" s="8"/>
    </row>
    <row r="68" ht="15.75" customHeight="1"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S68" s="8"/>
    </row>
    <row r="69" ht="15.75" customHeight="1"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S69" s="8"/>
    </row>
    <row r="70" ht="15.75" customHeight="1"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S70" s="8"/>
    </row>
    <row r="71" ht="15.75" customHeight="1"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S71" s="8"/>
    </row>
    <row r="72" ht="15.75" customHeight="1"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S72" s="8"/>
    </row>
    <row r="73" ht="15.75" customHeight="1"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S73" s="8"/>
    </row>
    <row r="74" ht="15.75" customHeight="1"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S74" s="8"/>
    </row>
    <row r="75" ht="15.75" customHeight="1"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S75" s="8"/>
    </row>
    <row r="76" ht="15.75" customHeight="1"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S76" s="8"/>
    </row>
    <row r="77" ht="15.75" customHeight="1"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S77" s="8"/>
    </row>
    <row r="78" ht="15.75" customHeight="1"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S78" s="8"/>
    </row>
    <row r="79" ht="15.75" customHeight="1"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S79" s="8"/>
    </row>
    <row r="80" ht="15.75" customHeight="1"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S80" s="8"/>
    </row>
    <row r="81" ht="15.75" customHeight="1"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S81" s="8"/>
    </row>
    <row r="82" ht="15.75" customHeight="1"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S82" s="8"/>
    </row>
    <row r="83" ht="15.75" customHeight="1"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S83" s="8"/>
    </row>
    <row r="84" ht="15.75" customHeight="1"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S84" s="8"/>
    </row>
    <row r="85" ht="15.75" customHeight="1"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S85" s="8"/>
    </row>
    <row r="86" ht="15.75" customHeight="1"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S86" s="8"/>
    </row>
    <row r="87" ht="15.75" customHeight="1"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S87" s="8"/>
    </row>
    <row r="88" ht="15.75" customHeight="1"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S88" s="8"/>
    </row>
    <row r="89" ht="15.75" customHeight="1"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S89" s="8"/>
    </row>
    <row r="90" ht="15.75" customHeight="1"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S90" s="8"/>
    </row>
    <row r="91" ht="15.75" customHeight="1"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S91" s="8"/>
    </row>
    <row r="92" ht="15.75" customHeight="1"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S92" s="8"/>
    </row>
    <row r="93" ht="15.75" customHeight="1"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S93" s="8"/>
    </row>
    <row r="94" ht="15.75" customHeight="1"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S94" s="8"/>
    </row>
    <row r="95" ht="15.75" customHeight="1"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S95" s="8"/>
    </row>
    <row r="96" ht="15.75" customHeight="1"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S96" s="8"/>
    </row>
    <row r="97" ht="15.75" customHeight="1"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S97" s="8"/>
    </row>
    <row r="98" ht="15.75" customHeight="1"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S98" s="8"/>
    </row>
    <row r="99" ht="15.75" customHeight="1"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S99" s="8"/>
    </row>
    <row r="100" ht="15.75" customHeight="1"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S100" s="8"/>
    </row>
    <row r="101" ht="15.75" customHeight="1"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S101" s="8"/>
    </row>
    <row r="102" ht="15.75" customHeight="1"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S102" s="8"/>
    </row>
    <row r="103" ht="15.75" customHeight="1"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S103" s="8"/>
    </row>
    <row r="104" ht="15.75" customHeight="1"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S104" s="8"/>
    </row>
    <row r="105" ht="15.75" customHeight="1"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S105" s="8"/>
    </row>
    <row r="106" ht="15.75" customHeight="1"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S106" s="8"/>
    </row>
    <row r="107" ht="15.75" customHeight="1"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S107" s="8"/>
    </row>
    <row r="108" ht="15.75" customHeight="1"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S108" s="8"/>
    </row>
    <row r="109" ht="15.75" customHeight="1"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S109" s="8"/>
    </row>
    <row r="110" ht="15.75" customHeight="1"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S110" s="8"/>
    </row>
    <row r="111" ht="15.75" customHeight="1"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S111" s="8"/>
    </row>
    <row r="112" ht="15.75" customHeight="1"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S112" s="8"/>
    </row>
    <row r="113" ht="15.75" customHeight="1"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S113" s="8"/>
    </row>
    <row r="114" ht="15.75" customHeight="1"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S114" s="8"/>
    </row>
    <row r="115" ht="15.75" customHeight="1"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S115" s="8"/>
    </row>
    <row r="116" ht="15.75" customHeight="1"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S116" s="8"/>
    </row>
    <row r="117" ht="15.75" customHeight="1"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S117" s="8"/>
    </row>
    <row r="118" ht="15.75" customHeight="1"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S118" s="8"/>
    </row>
    <row r="119" ht="15.75" customHeight="1"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S119" s="8"/>
    </row>
    <row r="120" ht="15.75" customHeight="1"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S120" s="8"/>
    </row>
    <row r="121" ht="15.75" customHeight="1"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S121" s="8"/>
    </row>
    <row r="122" ht="15.75" customHeight="1"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S122" s="8"/>
    </row>
    <row r="123" ht="15.75" customHeight="1"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S123" s="8"/>
    </row>
    <row r="124" ht="15.75" customHeight="1"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S124" s="8"/>
    </row>
    <row r="125" ht="15.75" customHeight="1"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S125" s="8"/>
    </row>
    <row r="126" ht="15.75" customHeight="1"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S126" s="8"/>
    </row>
    <row r="127" ht="15.75" customHeight="1"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S127" s="8"/>
    </row>
    <row r="128" ht="15.75" customHeight="1"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S128" s="8"/>
    </row>
    <row r="129" ht="15.75" customHeight="1"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S129" s="8"/>
    </row>
    <row r="130" ht="15.75" customHeight="1"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S130" s="8"/>
    </row>
    <row r="131" ht="15.75" customHeight="1"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S131" s="8"/>
    </row>
    <row r="132" ht="15.75" customHeight="1"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S132" s="8"/>
    </row>
    <row r="133" ht="15.75" customHeight="1"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S133" s="8"/>
    </row>
    <row r="134" ht="15.75" customHeight="1"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S134" s="8"/>
    </row>
    <row r="135" ht="15.75" customHeight="1"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S135" s="8"/>
    </row>
    <row r="136" ht="15.75" customHeight="1"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S136" s="8"/>
    </row>
    <row r="137" ht="15.75" customHeight="1"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S137" s="8"/>
    </row>
    <row r="138" ht="15.75" customHeight="1"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S138" s="8"/>
    </row>
    <row r="139" ht="15.75" customHeight="1"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S139" s="8"/>
    </row>
    <row r="140" ht="15.75" customHeight="1"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S140" s="8"/>
    </row>
    <row r="141" ht="15.75" customHeight="1"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S141" s="8"/>
    </row>
    <row r="142" ht="15.75" customHeight="1"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S142" s="8"/>
    </row>
    <row r="143" ht="15.75" customHeight="1"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S143" s="8"/>
    </row>
    <row r="144" ht="15.75" customHeight="1"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S144" s="8"/>
    </row>
    <row r="145" ht="15.75" customHeight="1"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S145" s="8"/>
    </row>
    <row r="146" ht="15.75" customHeight="1"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S146" s="8"/>
    </row>
    <row r="147" ht="15.75" customHeight="1"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S147" s="8"/>
    </row>
    <row r="148" ht="15.75" customHeight="1"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S148" s="8"/>
    </row>
    <row r="149" ht="15.75" customHeight="1"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S149" s="8"/>
    </row>
    <row r="150" ht="15.75" customHeight="1"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S150" s="8"/>
    </row>
    <row r="151" ht="15.75" customHeight="1"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S151" s="8"/>
    </row>
    <row r="152" ht="15.75" customHeight="1"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S152" s="8"/>
    </row>
    <row r="153" ht="15.75" customHeight="1"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S153" s="8"/>
    </row>
    <row r="154" ht="15.75" customHeight="1"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S154" s="8"/>
    </row>
    <row r="155" ht="15.75" customHeight="1"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S155" s="8"/>
    </row>
    <row r="156" ht="15.75" customHeight="1"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S156" s="8"/>
    </row>
    <row r="157" ht="15.75" customHeight="1"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S157" s="8"/>
    </row>
    <row r="158" ht="15.75" customHeight="1"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S158" s="8"/>
    </row>
    <row r="159" ht="15.75" customHeight="1"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S159" s="8"/>
    </row>
    <row r="160" ht="15.75" customHeight="1"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S160" s="8"/>
    </row>
    <row r="161" ht="15.75" customHeight="1"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S161" s="8"/>
    </row>
    <row r="162" ht="15.75" customHeight="1"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S162" s="8"/>
    </row>
    <row r="163" ht="15.75" customHeight="1"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S163" s="8"/>
    </row>
    <row r="164" ht="15.75" customHeight="1"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S164" s="8"/>
    </row>
    <row r="165" ht="15.75" customHeight="1"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S165" s="8"/>
    </row>
    <row r="166" ht="15.75" customHeight="1"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S166" s="8"/>
    </row>
    <row r="167" ht="15.75" customHeight="1"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S167" s="8"/>
    </row>
    <row r="168" ht="15.75" customHeight="1"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S168" s="8"/>
    </row>
    <row r="169" ht="15.75" customHeight="1"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S169" s="8"/>
    </row>
    <row r="170" ht="15.75" customHeight="1"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S170" s="8"/>
    </row>
    <row r="171" ht="15.75" customHeight="1"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S171" s="8"/>
    </row>
    <row r="172" ht="15.75" customHeight="1"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S172" s="8"/>
    </row>
    <row r="173" ht="15.75" customHeight="1"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S173" s="8"/>
    </row>
    <row r="174" ht="15.75" customHeight="1"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S174" s="8"/>
    </row>
    <row r="175" ht="15.75" customHeight="1"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S175" s="8"/>
    </row>
    <row r="176" ht="15.75" customHeight="1"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S176" s="8"/>
    </row>
    <row r="177" ht="15.75" customHeight="1"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S177" s="8"/>
    </row>
    <row r="178" ht="15.75" customHeight="1"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S178" s="8"/>
    </row>
    <row r="179" ht="15.75" customHeight="1"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S179" s="8"/>
    </row>
    <row r="180" ht="15.75" customHeight="1"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S180" s="8"/>
    </row>
    <row r="181" ht="15.75" customHeight="1"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S181" s="8"/>
    </row>
    <row r="182" ht="15.75" customHeight="1"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S182" s="8"/>
    </row>
    <row r="183" ht="15.75" customHeight="1"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S183" s="8"/>
    </row>
    <row r="184" ht="15.75" customHeight="1"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S184" s="8"/>
    </row>
    <row r="185" ht="15.75" customHeight="1"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S185" s="8"/>
    </row>
    <row r="186" ht="15.75" customHeight="1"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S186" s="8"/>
    </row>
    <row r="187" ht="15.75" customHeight="1"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S187" s="8"/>
    </row>
    <row r="188" ht="15.75" customHeight="1"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S188" s="8"/>
    </row>
    <row r="189" ht="15.75" customHeight="1"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S189" s="8"/>
    </row>
    <row r="190" ht="15.75" customHeight="1"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S190" s="8"/>
    </row>
    <row r="191" ht="15.75" customHeight="1"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S191" s="8"/>
    </row>
    <row r="192" ht="15.75" customHeight="1"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S192" s="8"/>
    </row>
    <row r="193" ht="15.75" customHeight="1"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S193" s="8"/>
    </row>
    <row r="194" ht="15.75" customHeight="1"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S194" s="8"/>
    </row>
    <row r="195" ht="15.75" customHeight="1"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S195" s="8"/>
    </row>
    <row r="196" ht="15.75" customHeight="1"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S196" s="8"/>
    </row>
    <row r="197" ht="15.75" customHeight="1"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S197" s="8"/>
    </row>
    <row r="198" ht="15.75" customHeight="1"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S198" s="8"/>
    </row>
    <row r="199" ht="15.75" customHeight="1"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S199" s="8"/>
    </row>
    <row r="200" ht="15.75" customHeight="1"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S200" s="8"/>
    </row>
    <row r="201" ht="15.75" customHeight="1"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S201" s="8"/>
    </row>
    <row r="202" ht="15.75" customHeight="1"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S202" s="8"/>
    </row>
    <row r="203" ht="15.75" customHeight="1"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S203" s="8"/>
    </row>
    <row r="204" ht="15.75" customHeight="1"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S204" s="8"/>
    </row>
    <row r="205" ht="15.75" customHeight="1"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S205" s="8"/>
    </row>
    <row r="206" ht="15.75" customHeight="1"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S206" s="8"/>
    </row>
    <row r="207" ht="15.75" customHeight="1"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S207" s="8"/>
    </row>
    <row r="208" ht="15.75" customHeight="1"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S208" s="8"/>
    </row>
    <row r="209" ht="15.75" customHeight="1"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S209" s="8"/>
    </row>
    <row r="210" ht="15.75" customHeight="1"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S210" s="8"/>
    </row>
    <row r="211" ht="15.75" customHeight="1"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S211" s="8"/>
    </row>
    <row r="212" ht="15.75" customHeight="1"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S212" s="8"/>
    </row>
    <row r="213" ht="15.75" customHeight="1"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S213" s="8"/>
    </row>
    <row r="214" ht="15.75" customHeight="1"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S214" s="8"/>
    </row>
    <row r="215" ht="15.75" customHeight="1"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S215" s="8"/>
    </row>
    <row r="216" ht="15.75" customHeight="1"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S216" s="8"/>
    </row>
    <row r="217" ht="15.75" customHeight="1"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S217" s="8"/>
    </row>
    <row r="218" ht="15.75" customHeight="1"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S218" s="8"/>
    </row>
    <row r="219" ht="15.75" customHeight="1"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S219" s="8"/>
    </row>
    <row r="220" ht="15.75" customHeight="1"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S220" s="8"/>
    </row>
    <row r="221" ht="15.75" customHeight="1"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S221" s="8"/>
    </row>
    <row r="222" ht="15.75" customHeight="1"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S222" s="8"/>
    </row>
    <row r="223" ht="15.75" customHeight="1"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S223" s="8"/>
    </row>
    <row r="224" ht="15.75" customHeight="1"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S224" s="8"/>
    </row>
    <row r="225" ht="15.75" customHeight="1"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S225" s="8"/>
    </row>
    <row r="226" ht="15.75" customHeight="1"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S226" s="8"/>
    </row>
    <row r="227" ht="15.75" customHeight="1"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S227" s="8"/>
    </row>
    <row r="228" ht="15.75" customHeight="1"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S228" s="8"/>
    </row>
    <row r="229" ht="15.75" customHeight="1"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S229" s="8"/>
    </row>
    <row r="230" ht="15.75" customHeight="1"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S230" s="8"/>
    </row>
    <row r="231" ht="15.75" customHeight="1"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S231" s="8"/>
    </row>
    <row r="232" ht="15.75" customHeight="1"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S232" s="8"/>
    </row>
    <row r="233" ht="15.75" customHeight="1"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S233" s="8"/>
    </row>
    <row r="234" ht="15.75" customHeight="1"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S234" s="8"/>
    </row>
    <row r="235" ht="15.75" customHeight="1"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S235" s="8"/>
    </row>
    <row r="236" ht="15.75" customHeight="1"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S236" s="8"/>
    </row>
    <row r="237" ht="15.75" customHeight="1"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S237" s="8"/>
    </row>
    <row r="238" ht="15.75" customHeight="1"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S238" s="8"/>
    </row>
    <row r="239" ht="15.75" customHeight="1"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S239" s="8"/>
    </row>
    <row r="240" ht="15.75" customHeight="1"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S240" s="8"/>
    </row>
    <row r="241" ht="15.75" customHeight="1"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S241" s="8"/>
    </row>
    <row r="242" ht="15.75" customHeight="1"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S242" s="8"/>
    </row>
    <row r="243" ht="15.75" customHeight="1"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S243" s="8"/>
    </row>
    <row r="244" ht="15.75" customHeight="1"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S244" s="8"/>
    </row>
    <row r="245" ht="15.75" customHeight="1"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S245" s="8"/>
    </row>
    <row r="246" ht="15.75" customHeight="1"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S246" s="8"/>
    </row>
    <row r="247" ht="15.75" customHeight="1"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S247" s="8"/>
    </row>
    <row r="248" ht="15.75" customHeight="1"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S248" s="8"/>
    </row>
    <row r="249" ht="15.75" customHeight="1"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S249" s="8"/>
    </row>
    <row r="250" ht="15.75" customHeight="1"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S250" s="8"/>
    </row>
    <row r="251" ht="15.75" customHeight="1"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S251" s="8"/>
    </row>
    <row r="252" ht="15.75" customHeight="1"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S252" s="8"/>
    </row>
    <row r="253" ht="15.75" customHeight="1"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S253" s="8"/>
    </row>
    <row r="254" ht="15.75" customHeight="1"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S254" s="8"/>
    </row>
    <row r="255" ht="15.75" customHeight="1"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S255" s="8"/>
    </row>
    <row r="256" ht="15.75" customHeight="1"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S256" s="8"/>
    </row>
    <row r="257" ht="15.75" customHeight="1"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S257" s="8"/>
    </row>
    <row r="258" ht="15.75" customHeight="1"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S258" s="8"/>
    </row>
    <row r="259" ht="15.75" customHeight="1"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S259" s="8"/>
    </row>
    <row r="260" ht="15.75" customHeight="1"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S260" s="8"/>
    </row>
    <row r="261" ht="15.75" customHeight="1"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S261" s="8"/>
    </row>
    <row r="262" ht="15.75" customHeight="1"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S262" s="8"/>
    </row>
    <row r="263" ht="15.75" customHeight="1"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S263" s="8"/>
    </row>
    <row r="264" ht="15.75" customHeight="1"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S264" s="8"/>
    </row>
    <row r="265" ht="15.75" customHeight="1"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S265" s="8"/>
    </row>
    <row r="266" ht="15.75" customHeight="1"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S266" s="8"/>
    </row>
    <row r="267" ht="15.75" customHeight="1"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S267" s="8"/>
    </row>
    <row r="268" ht="15.75" customHeight="1"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S268" s="8"/>
    </row>
    <row r="269" ht="15.75" customHeight="1"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S269" s="8"/>
    </row>
    <row r="270" ht="15.75" customHeight="1"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S270" s="8"/>
    </row>
    <row r="271" ht="15.75" customHeight="1"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S271" s="8"/>
    </row>
    <row r="272" ht="15.75" customHeight="1"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S272" s="8"/>
    </row>
    <row r="273" ht="15.75" customHeight="1"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S273" s="8"/>
    </row>
    <row r="274" ht="15.75" customHeight="1"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S274" s="8"/>
    </row>
    <row r="275" ht="15.75" customHeight="1"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S275" s="8"/>
    </row>
    <row r="276" ht="15.75" customHeight="1"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S276" s="8"/>
    </row>
    <row r="277" ht="15.75" customHeight="1"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S277" s="8"/>
    </row>
    <row r="278" ht="15.75" customHeight="1"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S278" s="8"/>
    </row>
    <row r="279" ht="15.75" customHeight="1"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S279" s="8"/>
    </row>
    <row r="280" ht="15.75" customHeight="1"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S280" s="8"/>
    </row>
    <row r="281" ht="15.75" customHeight="1"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S281" s="8"/>
    </row>
    <row r="282" ht="15.75" customHeight="1"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S282" s="8"/>
    </row>
    <row r="283" ht="15.75" customHeight="1"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S283" s="8"/>
    </row>
    <row r="284" ht="15.75" customHeight="1"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S284" s="8"/>
    </row>
    <row r="285" ht="15.75" customHeight="1"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S285" s="8"/>
    </row>
    <row r="286" ht="15.75" customHeight="1"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S286" s="8"/>
    </row>
    <row r="287" ht="15.75" customHeight="1"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S287" s="8"/>
    </row>
    <row r="288" ht="15.75" customHeight="1"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S288" s="8"/>
    </row>
    <row r="289" ht="15.75" customHeight="1"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S289" s="8"/>
    </row>
    <row r="290" ht="15.75" customHeight="1"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S290" s="8"/>
    </row>
    <row r="291" ht="15.75" customHeight="1"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S291" s="8"/>
    </row>
    <row r="292" ht="15.75" customHeight="1"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S292" s="8"/>
    </row>
    <row r="293" ht="15.75" customHeight="1"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S293" s="8"/>
    </row>
    <row r="294" ht="15.75" customHeight="1"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S294" s="8"/>
    </row>
    <row r="295" ht="15.75" customHeight="1"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S295" s="8"/>
    </row>
    <row r="296" ht="15.75" customHeight="1"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S296" s="8"/>
    </row>
    <row r="297" ht="15.75" customHeight="1"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S297" s="8"/>
    </row>
    <row r="298" ht="15.75" customHeight="1"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S298" s="8"/>
    </row>
    <row r="299" ht="15.75" customHeight="1"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S299" s="8"/>
    </row>
    <row r="300" ht="15.75" customHeight="1"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S300" s="8"/>
    </row>
    <row r="301" ht="15.75" customHeight="1"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S301" s="8"/>
    </row>
    <row r="302" ht="15.75" customHeight="1"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S302" s="8"/>
    </row>
    <row r="303" ht="15.75" customHeight="1"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S303" s="8"/>
    </row>
    <row r="304" ht="15.75" customHeight="1"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S304" s="8"/>
    </row>
    <row r="305" ht="15.75" customHeight="1"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S305" s="8"/>
    </row>
    <row r="306" ht="15.75" customHeight="1"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S306" s="8"/>
    </row>
    <row r="307" ht="15.75" customHeight="1"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S307" s="8"/>
    </row>
    <row r="308" ht="15.75" customHeight="1"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S308" s="8"/>
    </row>
    <row r="309" ht="15.75" customHeight="1"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S309" s="8"/>
    </row>
    <row r="310" ht="15.75" customHeight="1"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S310" s="8"/>
    </row>
    <row r="311" ht="15.75" customHeight="1"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S311" s="8"/>
    </row>
    <row r="312" ht="15.75" customHeight="1"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S312" s="8"/>
    </row>
    <row r="313" ht="15.75" customHeight="1"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S313" s="8"/>
    </row>
    <row r="314" ht="15.75" customHeight="1"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S314" s="8"/>
    </row>
    <row r="315" ht="15.75" customHeight="1"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S315" s="8"/>
    </row>
    <row r="316" ht="15.75" customHeight="1"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S316" s="8"/>
    </row>
    <row r="317" ht="15.75" customHeight="1"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S317" s="8"/>
    </row>
    <row r="318" ht="15.75" customHeight="1"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S318" s="8"/>
    </row>
    <row r="319" ht="15.75" customHeight="1"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S319" s="8"/>
    </row>
    <row r="320" ht="15.75" customHeight="1"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S320" s="8"/>
    </row>
    <row r="321" ht="15.75" customHeight="1"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S321" s="8"/>
    </row>
    <row r="322" ht="15.75" customHeight="1"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S322" s="8"/>
    </row>
    <row r="323" ht="15.75" customHeight="1"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S323" s="8"/>
    </row>
    <row r="324" ht="15.75" customHeight="1"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S324" s="8"/>
    </row>
    <row r="325" ht="15.75" customHeight="1"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S325" s="8"/>
    </row>
    <row r="326" ht="15.75" customHeight="1"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S326" s="8"/>
    </row>
    <row r="327" ht="15.75" customHeight="1"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S327" s="8"/>
    </row>
    <row r="328" ht="15.75" customHeight="1"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S328" s="8"/>
    </row>
    <row r="329" ht="15.75" customHeight="1"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S329" s="8"/>
    </row>
    <row r="330" ht="15.75" customHeight="1"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S330" s="8"/>
    </row>
    <row r="331" ht="15.75" customHeight="1"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S331" s="8"/>
    </row>
    <row r="332" ht="15.75" customHeight="1"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S332" s="8"/>
    </row>
    <row r="333" ht="15.75" customHeight="1"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S333" s="8"/>
    </row>
    <row r="334" ht="15.75" customHeight="1"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S334" s="8"/>
    </row>
    <row r="335" ht="15.75" customHeight="1"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S335" s="8"/>
    </row>
    <row r="336" ht="15.75" customHeight="1"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S336" s="8"/>
    </row>
    <row r="337" ht="15.75" customHeight="1"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S337" s="8"/>
    </row>
    <row r="338" ht="15.75" customHeight="1"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S338" s="8"/>
    </row>
    <row r="339" ht="15.75" customHeight="1"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S339" s="8"/>
    </row>
    <row r="340" ht="15.75" customHeight="1"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S340" s="8"/>
    </row>
    <row r="341" ht="15.75" customHeight="1"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S341" s="8"/>
    </row>
    <row r="342" ht="15.75" customHeight="1"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S342" s="8"/>
    </row>
    <row r="343" ht="15.75" customHeight="1"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S343" s="8"/>
    </row>
    <row r="344" ht="15.75" customHeight="1"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S344" s="8"/>
    </row>
    <row r="345" ht="15.75" customHeight="1"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S345" s="8"/>
    </row>
    <row r="346" ht="15.75" customHeight="1"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S346" s="8"/>
    </row>
    <row r="347" ht="15.75" customHeight="1"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S347" s="8"/>
    </row>
    <row r="348" ht="15.75" customHeight="1"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S348" s="8"/>
    </row>
    <row r="349" ht="15.75" customHeight="1"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S349" s="8"/>
    </row>
    <row r="350" ht="15.75" customHeight="1"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S350" s="8"/>
    </row>
    <row r="351" ht="15.75" customHeight="1"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S351" s="8"/>
    </row>
    <row r="352" ht="15.75" customHeight="1"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S352" s="8"/>
    </row>
    <row r="353" ht="15.75" customHeight="1"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S353" s="8"/>
    </row>
    <row r="354" ht="15.75" customHeight="1"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S354" s="8"/>
    </row>
    <row r="355" ht="15.75" customHeight="1"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S355" s="8"/>
    </row>
    <row r="356" ht="15.75" customHeight="1"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S356" s="8"/>
    </row>
    <row r="357" ht="15.75" customHeight="1"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S357" s="8"/>
    </row>
    <row r="358" ht="15.75" customHeight="1"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S358" s="8"/>
    </row>
    <row r="359" ht="15.75" customHeight="1"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S359" s="8"/>
    </row>
    <row r="360" ht="15.75" customHeight="1"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S360" s="8"/>
    </row>
    <row r="361" ht="15.75" customHeight="1"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S361" s="8"/>
    </row>
    <row r="362" ht="15.75" customHeight="1"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S362" s="8"/>
    </row>
    <row r="363" ht="15.75" customHeight="1"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S363" s="8"/>
    </row>
    <row r="364" ht="15.75" customHeight="1"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S364" s="8"/>
    </row>
    <row r="365" ht="15.75" customHeight="1"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S365" s="8"/>
    </row>
    <row r="366" ht="15.75" customHeight="1"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S366" s="8"/>
    </row>
    <row r="367" ht="15.75" customHeight="1"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S367" s="8"/>
    </row>
    <row r="368" ht="15.75" customHeight="1"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S368" s="8"/>
    </row>
    <row r="369" ht="15.75" customHeight="1"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S369" s="8"/>
    </row>
    <row r="370" ht="15.75" customHeight="1"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S370" s="8"/>
    </row>
    <row r="371" ht="15.75" customHeight="1"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S371" s="8"/>
    </row>
    <row r="372" ht="15.75" customHeight="1"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S372" s="8"/>
    </row>
    <row r="373" ht="15.75" customHeight="1"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S373" s="8"/>
    </row>
    <row r="374" ht="15.75" customHeight="1"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S374" s="8"/>
    </row>
    <row r="375" ht="15.75" customHeight="1"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S375" s="8"/>
    </row>
    <row r="376" ht="15.75" customHeight="1"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S376" s="8"/>
    </row>
    <row r="377" ht="15.75" customHeight="1"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S377" s="8"/>
    </row>
    <row r="378" ht="15.75" customHeight="1"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S378" s="8"/>
    </row>
    <row r="379" ht="15.75" customHeight="1"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S379" s="8"/>
    </row>
    <row r="380" ht="15.75" customHeight="1"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S380" s="8"/>
    </row>
    <row r="381" ht="15.75" customHeight="1"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S381" s="8"/>
    </row>
    <row r="382" ht="15.75" customHeight="1"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S382" s="8"/>
    </row>
    <row r="383" ht="15.75" customHeight="1"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S383" s="8"/>
    </row>
    <row r="384" ht="15.75" customHeight="1"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S384" s="8"/>
    </row>
    <row r="385" ht="15.75" customHeight="1"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S385" s="8"/>
    </row>
    <row r="386" ht="15.75" customHeight="1"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S386" s="8"/>
    </row>
    <row r="387" ht="15.75" customHeight="1"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S387" s="8"/>
    </row>
    <row r="388" ht="15.75" customHeight="1"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S388" s="8"/>
    </row>
    <row r="389" ht="15.75" customHeight="1"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S389" s="8"/>
    </row>
    <row r="390" ht="15.75" customHeight="1"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S390" s="8"/>
    </row>
    <row r="391" ht="15.75" customHeight="1"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S391" s="8"/>
    </row>
    <row r="392" ht="15.75" customHeight="1"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S392" s="8"/>
    </row>
    <row r="393" ht="15.75" customHeight="1"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S393" s="8"/>
    </row>
    <row r="394" ht="15.75" customHeight="1"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S394" s="8"/>
    </row>
    <row r="395" ht="15.75" customHeight="1"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S395" s="8"/>
    </row>
    <row r="396" ht="15.75" customHeight="1"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S396" s="8"/>
    </row>
    <row r="397" ht="15.75" customHeight="1"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S397" s="8"/>
    </row>
    <row r="398" ht="15.75" customHeight="1"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S398" s="8"/>
    </row>
    <row r="399" ht="15.75" customHeight="1"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S399" s="8"/>
    </row>
    <row r="400" ht="15.75" customHeight="1"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S400" s="8"/>
    </row>
    <row r="401" ht="15.75" customHeight="1"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S401" s="8"/>
    </row>
    <row r="402" ht="15.75" customHeight="1"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S402" s="8"/>
    </row>
    <row r="403" ht="15.75" customHeight="1"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S403" s="8"/>
    </row>
    <row r="404" ht="15.75" customHeight="1"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S404" s="8"/>
    </row>
    <row r="405" ht="15.75" customHeight="1"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S405" s="8"/>
    </row>
    <row r="406" ht="15.75" customHeight="1"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S406" s="8"/>
    </row>
    <row r="407" ht="15.75" customHeight="1"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S407" s="8"/>
    </row>
    <row r="408" ht="15.75" customHeight="1"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S408" s="8"/>
    </row>
    <row r="409" ht="15.75" customHeight="1"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S409" s="8"/>
    </row>
    <row r="410" ht="15.75" customHeight="1"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S410" s="8"/>
    </row>
    <row r="411" ht="15.75" customHeight="1"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S411" s="8"/>
    </row>
    <row r="412" ht="15.75" customHeight="1"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S412" s="8"/>
    </row>
    <row r="413" ht="15.75" customHeight="1"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S413" s="8"/>
    </row>
    <row r="414" ht="15.75" customHeight="1"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S414" s="8"/>
    </row>
    <row r="415" ht="15.75" customHeight="1"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S415" s="8"/>
    </row>
    <row r="416" ht="15.75" customHeight="1"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S416" s="8"/>
    </row>
    <row r="417" ht="15.75" customHeight="1"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S417" s="8"/>
    </row>
    <row r="418" ht="15.75" customHeight="1"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S418" s="8"/>
    </row>
    <row r="419" ht="15.75" customHeight="1"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S419" s="8"/>
    </row>
    <row r="420" ht="15.75" customHeight="1"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S420" s="8"/>
    </row>
    <row r="421" ht="15.75" customHeight="1"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S421" s="8"/>
    </row>
    <row r="422" ht="15.75" customHeight="1"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S422" s="8"/>
    </row>
    <row r="423" ht="15.75" customHeight="1"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S423" s="8"/>
    </row>
    <row r="424" ht="15.75" customHeight="1"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S424" s="8"/>
    </row>
    <row r="425" ht="15.75" customHeight="1"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S425" s="8"/>
    </row>
    <row r="426" ht="15.75" customHeight="1"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S426" s="8"/>
    </row>
    <row r="427" ht="15.75" customHeight="1"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S427" s="8"/>
    </row>
    <row r="428" ht="15.75" customHeight="1"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S428" s="8"/>
    </row>
    <row r="429" ht="15.75" customHeight="1"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S429" s="8"/>
    </row>
    <row r="430" ht="15.75" customHeight="1"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S430" s="8"/>
    </row>
    <row r="431" ht="15.75" customHeight="1"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S431" s="8"/>
    </row>
    <row r="432" ht="15.75" customHeight="1"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S432" s="8"/>
    </row>
    <row r="433" ht="15.75" customHeight="1"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S433" s="8"/>
    </row>
    <row r="434" ht="15.75" customHeight="1"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S434" s="8"/>
    </row>
    <row r="435" ht="15.75" customHeight="1"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S435" s="8"/>
    </row>
    <row r="436" ht="15.75" customHeight="1"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S436" s="8"/>
    </row>
    <row r="437" ht="15.75" customHeight="1"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S437" s="8"/>
    </row>
    <row r="438" ht="15.75" customHeight="1"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S438" s="8"/>
    </row>
    <row r="439" ht="15.75" customHeight="1"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S439" s="8"/>
    </row>
    <row r="440" ht="15.75" customHeight="1"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S440" s="8"/>
    </row>
    <row r="441" ht="15.75" customHeight="1"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S441" s="8"/>
    </row>
    <row r="442" ht="15.75" customHeight="1"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S442" s="8"/>
    </row>
    <row r="443" ht="15.75" customHeight="1"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S443" s="8"/>
    </row>
    <row r="444" ht="15.75" customHeight="1"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S444" s="8"/>
    </row>
    <row r="445" ht="15.75" customHeight="1"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S445" s="8"/>
    </row>
    <row r="446" ht="15.75" customHeight="1"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S446" s="8"/>
    </row>
    <row r="447" ht="15.75" customHeight="1"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S447" s="8"/>
    </row>
    <row r="448" ht="15.75" customHeight="1"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S448" s="8"/>
    </row>
    <row r="449" ht="15.75" customHeight="1"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S449" s="8"/>
    </row>
    <row r="450" ht="15.75" customHeight="1"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S450" s="8"/>
    </row>
    <row r="451" ht="15.75" customHeight="1"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S451" s="8"/>
    </row>
    <row r="452" ht="15.75" customHeight="1"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S452" s="8"/>
    </row>
    <row r="453" ht="15.75" customHeight="1"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S453" s="8"/>
    </row>
    <row r="454" ht="15.75" customHeight="1"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S454" s="8"/>
    </row>
    <row r="455" ht="15.75" customHeight="1"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S455" s="8"/>
    </row>
    <row r="456" ht="15.75" customHeight="1"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S456" s="8"/>
    </row>
    <row r="457" ht="15.75" customHeight="1"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S457" s="8"/>
    </row>
    <row r="458" ht="15.75" customHeight="1"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S458" s="8"/>
    </row>
    <row r="459" ht="15.75" customHeight="1"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S459" s="8"/>
    </row>
    <row r="460" ht="15.75" customHeight="1"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S460" s="8"/>
    </row>
    <row r="461" ht="15.75" customHeight="1"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S461" s="8"/>
    </row>
    <row r="462" ht="15.75" customHeight="1"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S462" s="8"/>
    </row>
    <row r="463" ht="15.75" customHeight="1"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S463" s="8"/>
    </row>
    <row r="464" ht="15.75" customHeight="1"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S464" s="8"/>
    </row>
    <row r="465" ht="15.75" customHeight="1"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S465" s="8"/>
    </row>
    <row r="466" ht="15.75" customHeight="1"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S466" s="8"/>
    </row>
    <row r="467" ht="15.75" customHeight="1"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S467" s="8"/>
    </row>
    <row r="468" ht="15.75" customHeight="1"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S468" s="8"/>
    </row>
    <row r="469" ht="15.75" customHeight="1"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S469" s="8"/>
    </row>
    <row r="470" ht="15.75" customHeight="1"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S470" s="8"/>
    </row>
    <row r="471" ht="15.75" customHeight="1"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S471" s="8"/>
    </row>
    <row r="472" ht="15.75" customHeight="1"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S472" s="8"/>
    </row>
    <row r="473" ht="15.75" customHeight="1"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S473" s="8"/>
    </row>
    <row r="474" ht="15.75" customHeight="1"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S474" s="8"/>
    </row>
    <row r="475" ht="15.75" customHeight="1"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S475" s="8"/>
    </row>
    <row r="476" ht="15.75" customHeight="1"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S476" s="8"/>
    </row>
    <row r="477" ht="15.75" customHeight="1"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S477" s="8"/>
    </row>
    <row r="478" ht="15.75" customHeight="1"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S478" s="8"/>
    </row>
    <row r="479" ht="15.75" customHeight="1"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S479" s="8"/>
    </row>
    <row r="480" ht="15.75" customHeight="1"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S480" s="8"/>
    </row>
    <row r="481" ht="15.75" customHeight="1"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S481" s="8"/>
    </row>
    <row r="482" ht="15.75" customHeight="1"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S482" s="8"/>
    </row>
    <row r="483" ht="15.75" customHeight="1"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S483" s="8"/>
    </row>
    <row r="484" ht="15.75" customHeight="1"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S484" s="8"/>
    </row>
    <row r="485" ht="15.75" customHeight="1"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S485" s="8"/>
    </row>
    <row r="486" ht="15.75" customHeight="1"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S486" s="8"/>
    </row>
    <row r="487" ht="15.75" customHeight="1"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S487" s="8"/>
    </row>
    <row r="488" ht="15.75" customHeight="1"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S488" s="8"/>
    </row>
    <row r="489" ht="15.75" customHeight="1"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S489" s="8"/>
    </row>
    <row r="490" ht="15.75" customHeight="1"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S490" s="8"/>
    </row>
    <row r="491" ht="15.75" customHeight="1"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S491" s="8"/>
    </row>
    <row r="492" ht="15.75" customHeight="1"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S492" s="8"/>
    </row>
    <row r="493" ht="15.75" customHeight="1"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S493" s="8"/>
    </row>
    <row r="494" ht="15.75" customHeight="1"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S494" s="8"/>
    </row>
    <row r="495" ht="15.75" customHeight="1"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S495" s="8"/>
    </row>
    <row r="496" ht="15.75" customHeight="1"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S496" s="8"/>
    </row>
    <row r="497" ht="15.75" customHeight="1"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S497" s="8"/>
    </row>
    <row r="498" ht="15.75" customHeight="1"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S498" s="8"/>
    </row>
    <row r="499" ht="15.75" customHeight="1"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S499" s="8"/>
    </row>
    <row r="500" ht="15.75" customHeight="1"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S500" s="8"/>
    </row>
    <row r="501" ht="15.75" customHeight="1"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S501" s="8"/>
    </row>
    <row r="502" ht="15.75" customHeight="1"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S502" s="8"/>
    </row>
    <row r="503" ht="15.75" customHeight="1"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S503" s="8"/>
    </row>
    <row r="504" ht="15.75" customHeight="1"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S504" s="8"/>
    </row>
    <row r="505" ht="15.75" customHeight="1"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S505" s="8"/>
    </row>
    <row r="506" ht="15.75" customHeight="1"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S506" s="8"/>
    </row>
    <row r="507" ht="15.75" customHeight="1"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S507" s="8"/>
    </row>
    <row r="508" ht="15.75" customHeight="1"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S508" s="8"/>
    </row>
    <row r="509" ht="15.75" customHeight="1"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S509" s="8"/>
    </row>
    <row r="510" ht="15.75" customHeight="1"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S510" s="8"/>
    </row>
    <row r="511" ht="15.75" customHeight="1"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S511" s="8"/>
    </row>
    <row r="512" ht="15.75" customHeight="1"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S512" s="8"/>
    </row>
    <row r="513" ht="15.75" customHeight="1"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S513" s="8"/>
    </row>
    <row r="514" ht="15.75" customHeight="1"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S514" s="8"/>
    </row>
    <row r="515" ht="15.75" customHeight="1"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S515" s="8"/>
    </row>
    <row r="516" ht="15.75" customHeight="1"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S516" s="8"/>
    </row>
    <row r="517" ht="15.75" customHeight="1"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S517" s="8"/>
    </row>
    <row r="518" ht="15.75" customHeight="1"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S518" s="8"/>
    </row>
    <row r="519" ht="15.75" customHeight="1"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S519" s="8"/>
    </row>
    <row r="520" ht="15.75" customHeight="1"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S520" s="8"/>
    </row>
    <row r="521" ht="15.75" customHeight="1"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S521" s="8"/>
    </row>
    <row r="522" ht="15.75" customHeight="1"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S522" s="8"/>
    </row>
    <row r="523" ht="15.75" customHeight="1"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S523" s="8"/>
    </row>
    <row r="524" ht="15.75" customHeight="1"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S524" s="8"/>
    </row>
    <row r="525" ht="15.75" customHeight="1"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S525" s="8"/>
    </row>
    <row r="526" ht="15.75" customHeight="1"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S526" s="8"/>
    </row>
    <row r="527" ht="15.75" customHeight="1"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S527" s="8"/>
    </row>
    <row r="528" ht="15.75" customHeight="1"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S528" s="8"/>
    </row>
    <row r="529" ht="15.75" customHeight="1"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S529" s="8"/>
    </row>
    <row r="530" ht="15.75" customHeight="1"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S530" s="8"/>
    </row>
    <row r="531" ht="15.75" customHeight="1"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S531" s="8"/>
    </row>
    <row r="532" ht="15.75" customHeight="1"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S532" s="8"/>
    </row>
    <row r="533" ht="15.75" customHeight="1"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S533" s="8"/>
    </row>
    <row r="534" ht="15.75" customHeight="1"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S534" s="8"/>
    </row>
    <row r="535" ht="15.75" customHeight="1"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S535" s="8"/>
    </row>
    <row r="536" ht="15.75" customHeight="1"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S536" s="8"/>
    </row>
    <row r="537" ht="15.75" customHeight="1"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S537" s="8"/>
    </row>
    <row r="538" ht="15.75" customHeight="1"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S538" s="8"/>
    </row>
    <row r="539" ht="15.75" customHeight="1"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S539" s="8"/>
    </row>
    <row r="540" ht="15.75" customHeight="1"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S540" s="8"/>
    </row>
    <row r="541" ht="15.75" customHeight="1"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S541" s="8"/>
    </row>
    <row r="542" ht="15.75" customHeight="1"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S542" s="8"/>
    </row>
    <row r="543" ht="15.75" customHeight="1"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S543" s="8"/>
    </row>
    <row r="544" ht="15.75" customHeight="1"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S544" s="8"/>
    </row>
    <row r="545" ht="15.75" customHeight="1"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S545" s="8"/>
    </row>
    <row r="546" ht="15.75" customHeight="1"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S546" s="8"/>
    </row>
    <row r="547" ht="15.75" customHeight="1"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S547" s="8"/>
    </row>
    <row r="548" ht="15.75" customHeight="1"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S548" s="8"/>
    </row>
    <row r="549" ht="15.75" customHeight="1"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S549" s="8"/>
    </row>
    <row r="550" ht="15.75" customHeight="1"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S550" s="8"/>
    </row>
    <row r="551" ht="15.75" customHeight="1"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S551" s="8"/>
    </row>
    <row r="552" ht="15.75" customHeight="1"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S552" s="8"/>
    </row>
    <row r="553" ht="15.75" customHeight="1"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S553" s="8"/>
    </row>
    <row r="554" ht="15.75" customHeight="1"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S554" s="8"/>
    </row>
    <row r="555" ht="15.75" customHeight="1"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S555" s="8"/>
    </row>
    <row r="556" ht="15.75" customHeight="1"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S556" s="8"/>
    </row>
    <row r="557" ht="15.75" customHeight="1"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S557" s="8"/>
    </row>
    <row r="558" ht="15.75" customHeight="1"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S558" s="8"/>
    </row>
    <row r="559" ht="15.75" customHeight="1"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S559" s="8"/>
    </row>
    <row r="560" ht="15.75" customHeight="1"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S560" s="8"/>
    </row>
    <row r="561" ht="15.75" customHeight="1"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S561" s="8"/>
    </row>
    <row r="562" ht="15.75" customHeight="1"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S562" s="8"/>
    </row>
    <row r="563" ht="15.75" customHeight="1"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S563" s="8"/>
    </row>
    <row r="564" ht="15.75" customHeight="1"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S564" s="8"/>
    </row>
    <row r="565" ht="15.75" customHeight="1"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S565" s="8"/>
    </row>
    <row r="566" ht="15.75" customHeight="1"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S566" s="8"/>
    </row>
    <row r="567" ht="15.75" customHeight="1"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S567" s="8"/>
    </row>
    <row r="568" ht="15.75" customHeight="1"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S568" s="8"/>
    </row>
    <row r="569" ht="15.75" customHeight="1"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S569" s="8"/>
    </row>
    <row r="570" ht="15.75" customHeight="1"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S570" s="8"/>
    </row>
    <row r="571" ht="15.75" customHeight="1"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S571" s="8"/>
    </row>
    <row r="572" ht="15.75" customHeight="1"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S572" s="8"/>
    </row>
    <row r="573" ht="15.75" customHeight="1"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S573" s="8"/>
    </row>
    <row r="574" ht="15.75" customHeight="1"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S574" s="8"/>
    </row>
    <row r="575" ht="15.75" customHeight="1"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S575" s="8"/>
    </row>
    <row r="576" ht="15.75" customHeight="1"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S576" s="8"/>
    </row>
    <row r="577" ht="15.75" customHeight="1"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S577" s="8"/>
    </row>
    <row r="578" ht="15.75" customHeight="1"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S578" s="8"/>
    </row>
    <row r="579" ht="15.75" customHeight="1"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S579" s="8"/>
    </row>
    <row r="580" ht="15.75" customHeight="1"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S580" s="8"/>
    </row>
    <row r="581" ht="15.75" customHeight="1"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S581" s="8"/>
    </row>
    <row r="582" ht="15.75" customHeight="1"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S582" s="8"/>
    </row>
    <row r="583" ht="15.75" customHeight="1"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S583" s="8"/>
    </row>
    <row r="584" ht="15.75" customHeight="1"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S584" s="8"/>
    </row>
    <row r="585" ht="15.75" customHeight="1"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S585" s="8"/>
    </row>
    <row r="586" ht="15.75" customHeight="1"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S586" s="8"/>
    </row>
    <row r="587" ht="15.75" customHeight="1"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S587" s="8"/>
    </row>
    <row r="588" ht="15.75" customHeight="1"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S588" s="8"/>
    </row>
    <row r="589" ht="15.75" customHeight="1"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S589" s="8"/>
    </row>
    <row r="590" ht="15.75" customHeight="1"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S590" s="8"/>
    </row>
    <row r="591" ht="15.75" customHeight="1"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S591" s="8"/>
    </row>
    <row r="592" ht="15.75" customHeight="1"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S592" s="8"/>
    </row>
    <row r="593" ht="15.75" customHeight="1"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S593" s="8"/>
    </row>
    <row r="594" ht="15.75" customHeight="1"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S594" s="8"/>
    </row>
    <row r="595" ht="15.75" customHeight="1"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S595" s="8"/>
    </row>
    <row r="596" ht="15.75" customHeight="1"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S596" s="8"/>
    </row>
    <row r="597" ht="15.75" customHeight="1"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S597" s="8"/>
    </row>
    <row r="598" ht="15.75" customHeight="1"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S598" s="8"/>
    </row>
    <row r="599" ht="15.75" customHeight="1"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S599" s="8"/>
    </row>
    <row r="600" ht="15.75" customHeight="1"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S600" s="8"/>
    </row>
    <row r="601" ht="15.75" customHeight="1"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S601" s="8"/>
    </row>
    <row r="602" ht="15.75" customHeight="1"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S602" s="8"/>
    </row>
    <row r="603" ht="15.75" customHeight="1"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S603" s="8"/>
    </row>
    <row r="604" ht="15.75" customHeight="1"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S604" s="8"/>
    </row>
    <row r="605" ht="15.75" customHeight="1"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S605" s="8"/>
    </row>
    <row r="606" ht="15.75" customHeight="1"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S606" s="8"/>
    </row>
    <row r="607" ht="15.75" customHeight="1"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S607" s="8"/>
    </row>
    <row r="608" ht="15.75" customHeight="1"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S608" s="8"/>
    </row>
    <row r="609" ht="15.75" customHeight="1"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S609" s="8"/>
    </row>
    <row r="610" ht="15.75" customHeight="1"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S610" s="8"/>
    </row>
    <row r="611" ht="15.75" customHeight="1"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S611" s="8"/>
    </row>
    <row r="612" ht="15.75" customHeight="1"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S612" s="8"/>
    </row>
    <row r="613" ht="15.75" customHeight="1"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S613" s="8"/>
    </row>
    <row r="614" ht="15.75" customHeight="1"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S614" s="8"/>
    </row>
    <row r="615" ht="15.75" customHeight="1"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S615" s="8"/>
    </row>
    <row r="616" ht="15.75" customHeight="1"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S616" s="8"/>
    </row>
    <row r="617" ht="15.75" customHeight="1"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S617" s="8"/>
    </row>
    <row r="618" ht="15.75" customHeight="1"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S618" s="8"/>
    </row>
    <row r="619" ht="15.75" customHeight="1"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S619" s="8"/>
    </row>
    <row r="620" ht="15.75" customHeight="1"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S620" s="8"/>
    </row>
    <row r="621" ht="15.75" customHeight="1"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S621" s="8"/>
    </row>
    <row r="622" ht="15.75" customHeight="1"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S622" s="8"/>
    </row>
    <row r="623" ht="15.75" customHeight="1"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S623" s="8"/>
    </row>
    <row r="624" ht="15.75" customHeight="1"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S624" s="8"/>
    </row>
    <row r="625" ht="15.75" customHeight="1"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S625" s="8"/>
    </row>
    <row r="626" ht="15.75" customHeight="1"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S626" s="8"/>
    </row>
    <row r="627" ht="15.75" customHeight="1"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S627" s="8"/>
    </row>
    <row r="628" ht="15.75" customHeight="1"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S628" s="8"/>
    </row>
    <row r="629" ht="15.75" customHeight="1"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S629" s="8"/>
    </row>
    <row r="630" ht="15.75" customHeight="1"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S630" s="8"/>
    </row>
    <row r="631" ht="15.75" customHeight="1"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S631" s="8"/>
    </row>
    <row r="632" ht="15.75" customHeight="1"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S632" s="8"/>
    </row>
    <row r="633" ht="15.75" customHeight="1"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S633" s="8"/>
    </row>
    <row r="634" ht="15.75" customHeight="1"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S634" s="8"/>
    </row>
    <row r="635" ht="15.75" customHeight="1"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S635" s="8"/>
    </row>
    <row r="636" ht="15.75" customHeight="1"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S636" s="8"/>
    </row>
    <row r="637" ht="15.75" customHeight="1"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S637" s="8"/>
    </row>
    <row r="638" ht="15.75" customHeight="1"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S638" s="8"/>
    </row>
    <row r="639" ht="15.75" customHeight="1"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S639" s="8"/>
    </row>
    <row r="640" ht="15.75" customHeight="1"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S640" s="8"/>
    </row>
    <row r="641" ht="15.75" customHeight="1"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S641" s="8"/>
    </row>
    <row r="642" ht="15.75" customHeight="1"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S642" s="8"/>
    </row>
    <row r="643" ht="15.75" customHeight="1"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S643" s="8"/>
    </row>
    <row r="644" ht="15.75" customHeight="1"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S644" s="8"/>
    </row>
    <row r="645" ht="15.75" customHeight="1"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S645" s="8"/>
    </row>
    <row r="646" ht="15.75" customHeight="1"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S646" s="8"/>
    </row>
    <row r="647" ht="15.75" customHeight="1"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S647" s="8"/>
    </row>
    <row r="648" ht="15.75" customHeight="1"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S648" s="8"/>
    </row>
    <row r="649" ht="15.75" customHeight="1"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S649" s="8"/>
    </row>
    <row r="650" ht="15.75" customHeight="1"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S650" s="8"/>
    </row>
    <row r="651" ht="15.75" customHeight="1"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S651" s="8"/>
    </row>
    <row r="652" ht="15.75" customHeight="1"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S652" s="8"/>
    </row>
    <row r="653" ht="15.75" customHeight="1"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S653" s="8"/>
    </row>
    <row r="654" ht="15.75" customHeight="1"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S654" s="8"/>
    </row>
    <row r="655" ht="15.75" customHeight="1"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S655" s="8"/>
    </row>
    <row r="656" ht="15.75" customHeight="1"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S656" s="8"/>
    </row>
    <row r="657" ht="15.75" customHeight="1"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S657" s="8"/>
    </row>
    <row r="658" ht="15.75" customHeight="1"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S658" s="8"/>
    </row>
    <row r="659" ht="15.75" customHeight="1"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S659" s="8"/>
    </row>
    <row r="660" ht="15.75" customHeight="1"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S660" s="8"/>
    </row>
    <row r="661" ht="15.75" customHeight="1"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S661" s="8"/>
    </row>
    <row r="662" ht="15.75" customHeight="1"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S662" s="8"/>
    </row>
    <row r="663" ht="15.75" customHeight="1"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S663" s="8"/>
    </row>
    <row r="664" ht="15.75" customHeight="1"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S664" s="8"/>
    </row>
    <row r="665" ht="15.75" customHeight="1"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S665" s="8"/>
    </row>
    <row r="666" ht="15.75" customHeight="1"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S666" s="8"/>
    </row>
    <row r="667" ht="15.75" customHeight="1"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S667" s="8"/>
    </row>
    <row r="668" ht="15.75" customHeight="1"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S668" s="8"/>
    </row>
    <row r="669" ht="15.75" customHeight="1"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S669" s="8"/>
    </row>
    <row r="670" ht="15.75" customHeight="1"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S670" s="8"/>
    </row>
    <row r="671" ht="15.75" customHeight="1"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S671" s="8"/>
    </row>
    <row r="672" ht="15.75" customHeight="1"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S672" s="8"/>
    </row>
    <row r="673" ht="15.75" customHeight="1"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S673" s="8"/>
    </row>
    <row r="674" ht="15.75" customHeight="1"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S674" s="8"/>
    </row>
    <row r="675" ht="15.75" customHeight="1"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S675" s="8"/>
    </row>
    <row r="676" ht="15.75" customHeight="1"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S676" s="8"/>
    </row>
    <row r="677" ht="15.75" customHeight="1"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S677" s="8"/>
    </row>
    <row r="678" ht="15.75" customHeight="1"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S678" s="8"/>
    </row>
    <row r="679" ht="15.75" customHeight="1"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S679" s="8"/>
    </row>
    <row r="680" ht="15.75" customHeight="1"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S680" s="8"/>
    </row>
    <row r="681" ht="15.75" customHeight="1"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S681" s="8"/>
    </row>
    <row r="682" ht="15.75" customHeight="1"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S682" s="8"/>
    </row>
    <row r="683" ht="15.75" customHeight="1"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S683" s="8"/>
    </row>
    <row r="684" ht="15.75" customHeight="1"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S684" s="8"/>
    </row>
    <row r="685" ht="15.75" customHeight="1"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S685" s="8"/>
    </row>
    <row r="686" ht="15.75" customHeight="1"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S686" s="8"/>
    </row>
    <row r="687" ht="15.75" customHeight="1"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S687" s="8"/>
    </row>
    <row r="688" ht="15.75" customHeight="1"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S688" s="8"/>
    </row>
    <row r="689" ht="15.75" customHeight="1"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S689" s="8"/>
    </row>
    <row r="690" ht="15.75" customHeight="1"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S690" s="8"/>
    </row>
    <row r="691" ht="15.75" customHeight="1"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S691" s="8"/>
    </row>
    <row r="692" ht="15.75" customHeight="1"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S692" s="8"/>
    </row>
    <row r="693" ht="15.75" customHeight="1"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S693" s="8"/>
    </row>
    <row r="694" ht="15.75" customHeight="1"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S694" s="8"/>
    </row>
    <row r="695" ht="15.75" customHeight="1"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S695" s="8"/>
    </row>
    <row r="696" ht="15.75" customHeight="1"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S696" s="8"/>
    </row>
    <row r="697" ht="15.75" customHeight="1"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S697" s="8"/>
    </row>
    <row r="698" ht="15.75" customHeight="1"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S698" s="8"/>
    </row>
    <row r="699" ht="15.75" customHeight="1"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S699" s="8"/>
    </row>
    <row r="700" ht="15.75" customHeight="1"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S700" s="8"/>
    </row>
    <row r="701" ht="15.75" customHeight="1"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S701" s="8"/>
    </row>
    <row r="702" ht="15.75" customHeight="1"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S702" s="8"/>
    </row>
    <row r="703" ht="15.75" customHeight="1"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S703" s="8"/>
    </row>
    <row r="704" ht="15.75" customHeight="1"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S704" s="8"/>
    </row>
    <row r="705" ht="15.75" customHeight="1"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S705" s="8"/>
    </row>
    <row r="706" ht="15.75" customHeight="1"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S706" s="8"/>
    </row>
    <row r="707" ht="15.75" customHeight="1"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S707" s="8"/>
    </row>
    <row r="708" ht="15.75" customHeight="1"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S708" s="8"/>
    </row>
    <row r="709" ht="15.75" customHeight="1"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S709" s="8"/>
    </row>
    <row r="710" ht="15.75" customHeight="1"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S710" s="8"/>
    </row>
    <row r="711" ht="15.75" customHeight="1"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S711" s="8"/>
    </row>
    <row r="712" ht="15.75" customHeight="1"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S712" s="8"/>
    </row>
    <row r="713" ht="15.75" customHeight="1"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S713" s="8"/>
    </row>
    <row r="714" ht="15.75" customHeight="1"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S714" s="8"/>
    </row>
    <row r="715" ht="15.75" customHeight="1"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S715" s="8"/>
    </row>
    <row r="716" ht="15.75" customHeight="1"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S716" s="8"/>
    </row>
    <row r="717" ht="15.75" customHeight="1"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S717" s="8"/>
    </row>
    <row r="718" ht="15.75" customHeight="1"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S718" s="8"/>
    </row>
    <row r="719" ht="15.75" customHeight="1"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S719" s="8"/>
    </row>
    <row r="720" ht="15.75" customHeight="1"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S720" s="8"/>
    </row>
    <row r="721" ht="15.75" customHeight="1"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S721" s="8"/>
    </row>
    <row r="722" ht="15.75" customHeight="1"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S722" s="8"/>
    </row>
    <row r="723" ht="15.75" customHeight="1"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S723" s="8"/>
    </row>
    <row r="724" ht="15.75" customHeight="1"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S724" s="8"/>
    </row>
    <row r="725" ht="15.75" customHeight="1"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S725" s="8"/>
    </row>
    <row r="726" ht="15.75" customHeight="1"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S726" s="8"/>
    </row>
    <row r="727" ht="15.75" customHeight="1"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S727" s="8"/>
    </row>
    <row r="728" ht="15.75" customHeight="1"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S728" s="8"/>
    </row>
    <row r="729" ht="15.75" customHeight="1"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S729" s="8"/>
    </row>
    <row r="730" ht="15.75" customHeight="1"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S730" s="8"/>
    </row>
    <row r="731" ht="15.75" customHeight="1"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S731" s="8"/>
    </row>
    <row r="732" ht="15.75" customHeight="1"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S732" s="8"/>
    </row>
    <row r="733" ht="15.75" customHeight="1"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S733" s="8"/>
    </row>
    <row r="734" ht="15.75" customHeight="1"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S734" s="8"/>
    </row>
    <row r="735" ht="15.75" customHeight="1"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S735" s="8"/>
    </row>
    <row r="736" ht="15.75" customHeight="1"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S736" s="8"/>
    </row>
    <row r="737" ht="15.75" customHeight="1"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S737" s="8"/>
    </row>
    <row r="738" ht="15.75" customHeight="1"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S738" s="8"/>
    </row>
    <row r="739" ht="15.75" customHeight="1"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S739" s="8"/>
    </row>
    <row r="740" ht="15.75" customHeight="1"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S740" s="8"/>
    </row>
    <row r="741" ht="15.75" customHeight="1"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S741" s="8"/>
    </row>
    <row r="742" ht="15.75" customHeight="1"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S742" s="8"/>
    </row>
    <row r="743" ht="15.75" customHeight="1"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S743" s="8"/>
    </row>
    <row r="744" ht="15.75" customHeight="1"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S744" s="8"/>
    </row>
    <row r="745" ht="15.75" customHeight="1"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S745" s="8"/>
    </row>
    <row r="746" ht="15.75" customHeight="1"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S746" s="8"/>
    </row>
    <row r="747" ht="15.75" customHeight="1"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S747" s="8"/>
    </row>
    <row r="748" ht="15.75" customHeight="1"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S748" s="8"/>
    </row>
    <row r="749" ht="15.75" customHeight="1"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S749" s="8"/>
    </row>
    <row r="750" ht="15.75" customHeight="1"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S750" s="8"/>
    </row>
    <row r="751" ht="15.75" customHeight="1"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S751" s="8"/>
    </row>
    <row r="752" ht="15.75" customHeight="1"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S752" s="8"/>
    </row>
    <row r="753" ht="15.75" customHeight="1"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S753" s="8"/>
    </row>
    <row r="754" ht="15.75" customHeight="1"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S754" s="8"/>
    </row>
    <row r="755" ht="15.75" customHeight="1"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S755" s="8"/>
    </row>
    <row r="756" ht="15.75" customHeight="1"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S756" s="8"/>
    </row>
    <row r="757" ht="15.75" customHeight="1"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S757" s="8"/>
    </row>
    <row r="758" ht="15.75" customHeight="1"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S758" s="8"/>
    </row>
    <row r="759" ht="15.75" customHeight="1"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S759" s="8"/>
    </row>
    <row r="760" ht="15.75" customHeight="1"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S760" s="8"/>
    </row>
    <row r="761" ht="15.75" customHeight="1"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S761" s="8"/>
    </row>
    <row r="762" ht="15.75" customHeight="1"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S762" s="8"/>
    </row>
    <row r="763" ht="15.75" customHeight="1"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S763" s="8"/>
    </row>
    <row r="764" ht="15.75" customHeight="1"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S764" s="8"/>
    </row>
    <row r="765" ht="15.75" customHeight="1"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S765" s="8"/>
    </row>
    <row r="766" ht="15.75" customHeight="1"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S766" s="8"/>
    </row>
    <row r="767" ht="15.75" customHeight="1"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S767" s="8"/>
    </row>
    <row r="768" ht="15.75" customHeight="1"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S768" s="8"/>
    </row>
    <row r="769" ht="15.75" customHeight="1"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S769" s="8"/>
    </row>
    <row r="770" ht="15.75" customHeight="1"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S770" s="8"/>
    </row>
    <row r="771" ht="15.75" customHeight="1"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S771" s="8"/>
    </row>
    <row r="772" ht="15.75" customHeight="1"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S772" s="8"/>
    </row>
    <row r="773" ht="15.75" customHeight="1"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S773" s="8"/>
    </row>
    <row r="774" ht="15.75" customHeight="1"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S774" s="8"/>
    </row>
    <row r="775" ht="15.75" customHeight="1"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S775" s="8"/>
    </row>
    <row r="776" ht="15.75" customHeight="1"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S776" s="8"/>
    </row>
    <row r="777" ht="15.75" customHeight="1"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S777" s="8"/>
    </row>
    <row r="778" ht="15.75" customHeight="1"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S778" s="8"/>
    </row>
    <row r="779" ht="15.75" customHeight="1"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S779" s="8"/>
    </row>
    <row r="780" ht="15.75" customHeight="1"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S780" s="8"/>
    </row>
    <row r="781" ht="15.75" customHeight="1"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S781" s="8"/>
    </row>
    <row r="782" ht="15.75" customHeight="1"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S782" s="8"/>
    </row>
    <row r="783" ht="15.75" customHeight="1"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S783" s="8"/>
    </row>
    <row r="784" ht="15.75" customHeight="1"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S784" s="8"/>
    </row>
    <row r="785" ht="15.75" customHeight="1"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S785" s="8"/>
    </row>
    <row r="786" ht="15.75" customHeight="1"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S786" s="8"/>
    </row>
    <row r="787" ht="15.75" customHeight="1"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S787" s="8"/>
    </row>
    <row r="788" ht="15.75" customHeight="1"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S788" s="8"/>
    </row>
    <row r="789" ht="15.75" customHeight="1"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S789" s="8"/>
    </row>
    <row r="790" ht="15.75" customHeight="1"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S790" s="8"/>
    </row>
    <row r="791" ht="15.75" customHeight="1"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S791" s="8"/>
    </row>
    <row r="792" ht="15.75" customHeight="1"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S792" s="8"/>
    </row>
    <row r="793" ht="15.75" customHeight="1"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S793" s="8"/>
    </row>
    <row r="794" ht="15.75" customHeight="1"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S794" s="8"/>
    </row>
    <row r="795" ht="15.75" customHeight="1"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S795" s="8"/>
    </row>
    <row r="796" ht="15.75" customHeight="1"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S796" s="8"/>
    </row>
    <row r="797" ht="15.75" customHeight="1"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S797" s="8"/>
    </row>
    <row r="798" ht="15.75" customHeight="1"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S798" s="8"/>
    </row>
    <row r="799" ht="15.75" customHeight="1"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S799" s="8"/>
    </row>
    <row r="800" ht="15.75" customHeight="1"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S800" s="8"/>
    </row>
    <row r="801" ht="15.75" customHeight="1"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S801" s="8"/>
    </row>
    <row r="802" ht="15.75" customHeight="1"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S802" s="8"/>
    </row>
    <row r="803" ht="15.75" customHeight="1"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S803" s="8"/>
    </row>
    <row r="804" ht="15.75" customHeight="1"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S804" s="8"/>
    </row>
    <row r="805" ht="15.75" customHeight="1"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S805" s="8"/>
    </row>
    <row r="806" ht="15.75" customHeight="1"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S806" s="8"/>
    </row>
    <row r="807" ht="15.75" customHeight="1"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S807" s="8"/>
    </row>
    <row r="808" ht="15.75" customHeight="1"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S808" s="8"/>
    </row>
    <row r="809" ht="15.75" customHeight="1"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S809" s="8"/>
    </row>
    <row r="810" ht="15.75" customHeight="1"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S810" s="8"/>
    </row>
    <row r="811" ht="15.75" customHeight="1"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S811" s="8"/>
    </row>
    <row r="812" ht="15.75" customHeight="1"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S812" s="8"/>
    </row>
    <row r="813" ht="15.75" customHeight="1"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S813" s="8"/>
    </row>
    <row r="814" ht="15.75" customHeight="1"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S814" s="8"/>
    </row>
    <row r="815" ht="15.75" customHeight="1"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S815" s="8"/>
    </row>
    <row r="816" ht="15.75" customHeight="1"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S816" s="8"/>
    </row>
    <row r="817" ht="15.75" customHeight="1"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S817" s="8"/>
    </row>
    <row r="818" ht="15.75" customHeight="1"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S818" s="8"/>
    </row>
    <row r="819" ht="15.75" customHeight="1"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S819" s="8"/>
    </row>
    <row r="820" ht="15.75" customHeight="1"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S820" s="8"/>
    </row>
    <row r="821" ht="15.75" customHeight="1"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S821" s="8"/>
    </row>
    <row r="822" ht="15.75" customHeight="1"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S822" s="8"/>
    </row>
    <row r="823" ht="15.75" customHeight="1"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S823" s="8"/>
    </row>
    <row r="824" ht="15.75" customHeight="1"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S824" s="8"/>
    </row>
    <row r="825" ht="15.75" customHeight="1"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S825" s="8"/>
    </row>
    <row r="826" ht="15.75" customHeight="1"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S826" s="8"/>
    </row>
    <row r="827" ht="15.75" customHeight="1"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S827" s="8"/>
    </row>
    <row r="828" ht="15.75" customHeight="1"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S828" s="8"/>
    </row>
    <row r="829" ht="15.75" customHeight="1"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S829" s="8"/>
    </row>
    <row r="830" ht="15.75" customHeight="1"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S830" s="8"/>
    </row>
    <row r="831" ht="15.75" customHeight="1"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S831" s="8"/>
    </row>
    <row r="832" ht="15.75" customHeight="1"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S832" s="8"/>
    </row>
    <row r="833" ht="15.75" customHeight="1"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S833" s="8"/>
    </row>
    <row r="834" ht="15.75" customHeight="1"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S834" s="8"/>
    </row>
    <row r="835" ht="15.75" customHeight="1"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S835" s="8"/>
    </row>
    <row r="836" ht="15.75" customHeight="1"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S836" s="8"/>
    </row>
    <row r="837" ht="15.75" customHeight="1"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S837" s="8"/>
    </row>
    <row r="838" ht="15.75" customHeight="1"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S838" s="8"/>
    </row>
    <row r="839" ht="15.75" customHeight="1"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S839" s="8"/>
    </row>
    <row r="840" ht="15.75" customHeight="1"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S840" s="8"/>
    </row>
    <row r="841" ht="15.75" customHeight="1"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S841" s="8"/>
    </row>
    <row r="842" ht="15.75" customHeight="1"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S842" s="8"/>
    </row>
    <row r="843" ht="15.75" customHeight="1"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S843" s="8"/>
    </row>
    <row r="844" ht="15.75" customHeight="1"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S844" s="8"/>
    </row>
    <row r="845" ht="15.75" customHeight="1"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S845" s="8"/>
    </row>
    <row r="846" ht="15.75" customHeight="1"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S846" s="8"/>
    </row>
    <row r="847" ht="15.75" customHeight="1"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S847" s="8"/>
    </row>
    <row r="848" ht="15.75" customHeight="1"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S848" s="8"/>
    </row>
    <row r="849" ht="15.75" customHeight="1"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S849" s="8"/>
    </row>
    <row r="850" ht="15.75" customHeight="1"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S850" s="8"/>
    </row>
    <row r="851" ht="15.75" customHeight="1"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S851" s="8"/>
    </row>
    <row r="852" ht="15.75" customHeight="1"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S852" s="8"/>
    </row>
    <row r="853" ht="15.75" customHeight="1"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S853" s="8"/>
    </row>
    <row r="854" ht="15.75" customHeight="1"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S854" s="8"/>
    </row>
    <row r="855" ht="15.75" customHeight="1"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S855" s="8"/>
    </row>
    <row r="856" ht="15.75" customHeight="1"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S856" s="8"/>
    </row>
    <row r="857" ht="15.75" customHeight="1"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S857" s="8"/>
    </row>
    <row r="858" ht="15.75" customHeight="1"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S858" s="8"/>
    </row>
    <row r="859" ht="15.75" customHeight="1"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S859" s="8"/>
    </row>
    <row r="860" ht="15.75" customHeight="1"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S860" s="8"/>
    </row>
    <row r="861" ht="15.75" customHeight="1"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S861" s="8"/>
    </row>
    <row r="862" ht="15.75" customHeight="1"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S862" s="8"/>
    </row>
    <row r="863" ht="15.75" customHeight="1"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S863" s="8"/>
    </row>
    <row r="864" ht="15.75" customHeight="1"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S864" s="8"/>
    </row>
    <row r="865" ht="15.75" customHeight="1"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S865" s="8"/>
    </row>
    <row r="866" ht="15.75" customHeight="1"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S866" s="8"/>
    </row>
    <row r="867" ht="15.75" customHeight="1"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S867" s="8"/>
    </row>
    <row r="868" ht="15.75" customHeight="1"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S868" s="8"/>
    </row>
    <row r="869" ht="15.75" customHeight="1"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S869" s="8"/>
    </row>
    <row r="870" ht="15.75" customHeight="1"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S870" s="8"/>
    </row>
    <row r="871" ht="15.75" customHeight="1"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S871" s="8"/>
    </row>
    <row r="872" ht="15.75" customHeight="1"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S872" s="8"/>
    </row>
    <row r="873" ht="15.75" customHeight="1"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S873" s="8"/>
    </row>
    <row r="874" ht="15.75" customHeight="1"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S874" s="8"/>
    </row>
    <row r="875" ht="15.75" customHeight="1"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S875" s="8"/>
    </row>
    <row r="876" ht="15.75" customHeight="1"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S876" s="8"/>
    </row>
    <row r="877" ht="15.75" customHeight="1"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S877" s="8"/>
    </row>
    <row r="878" ht="15.75" customHeight="1"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S878" s="8"/>
    </row>
    <row r="879" ht="15.75" customHeight="1"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S879" s="8"/>
    </row>
    <row r="880" ht="15.75" customHeight="1"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S880" s="8"/>
    </row>
    <row r="881" ht="15.75" customHeight="1"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S881" s="8"/>
    </row>
    <row r="882" ht="15.75" customHeight="1"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S882" s="8"/>
    </row>
    <row r="883" ht="15.75" customHeight="1"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S883" s="8"/>
    </row>
    <row r="884" ht="15.75" customHeight="1"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S884" s="8"/>
    </row>
    <row r="885" ht="15.75" customHeight="1"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S885" s="8"/>
    </row>
    <row r="886" ht="15.75" customHeight="1"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S886" s="8"/>
    </row>
    <row r="887" ht="15.75" customHeight="1"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S887" s="8"/>
    </row>
    <row r="888" ht="15.75" customHeight="1"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S888" s="8"/>
    </row>
    <row r="889" ht="15.75" customHeight="1"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S889" s="8"/>
    </row>
    <row r="890" ht="15.75" customHeight="1"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S890" s="8"/>
    </row>
    <row r="891" ht="15.75" customHeight="1"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S891" s="8"/>
    </row>
    <row r="892" ht="15.75" customHeight="1"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S892" s="8"/>
    </row>
    <row r="893" ht="15.75" customHeight="1"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S893" s="8"/>
    </row>
    <row r="894" ht="15.75" customHeight="1"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S894" s="8"/>
    </row>
    <row r="895" ht="15.75" customHeight="1"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S895" s="8"/>
    </row>
    <row r="896" ht="15.75" customHeight="1"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S896" s="8"/>
    </row>
    <row r="897" ht="15.75" customHeight="1"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S897" s="8"/>
    </row>
    <row r="898" ht="15.75" customHeight="1"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S898" s="8"/>
    </row>
    <row r="899" ht="15.75" customHeight="1"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S899" s="8"/>
    </row>
    <row r="900" ht="15.75" customHeight="1"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S900" s="8"/>
    </row>
    <row r="901" ht="15.75" customHeight="1"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S901" s="8"/>
    </row>
    <row r="902" ht="15.75" customHeight="1"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S902" s="8"/>
    </row>
    <row r="903" ht="15.75" customHeight="1"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S903" s="8"/>
    </row>
    <row r="904" ht="15.75" customHeight="1"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S904" s="8"/>
    </row>
    <row r="905" ht="15.75" customHeight="1"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S905" s="8"/>
    </row>
    <row r="906" ht="15.75" customHeight="1"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S906" s="8"/>
    </row>
    <row r="907" ht="15.75" customHeight="1"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S907" s="8"/>
    </row>
    <row r="908" ht="15.75" customHeight="1"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S908" s="8"/>
    </row>
    <row r="909" ht="15.75" customHeight="1"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S909" s="8"/>
    </row>
    <row r="910" ht="15.75" customHeight="1"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S910" s="8"/>
    </row>
    <row r="911" ht="15.75" customHeight="1"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S911" s="8"/>
    </row>
    <row r="912" ht="15.75" customHeight="1"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S912" s="8"/>
    </row>
    <row r="913" ht="15.75" customHeight="1"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S913" s="8"/>
    </row>
    <row r="914" ht="15.75" customHeight="1"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S914" s="8"/>
    </row>
    <row r="915" ht="15.75" customHeight="1"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S915" s="8"/>
    </row>
    <row r="916" ht="15.75" customHeight="1"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S916" s="8"/>
    </row>
    <row r="917" ht="15.75" customHeight="1"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S917" s="8"/>
    </row>
    <row r="918" ht="15.75" customHeight="1"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S918" s="8"/>
    </row>
    <row r="919" ht="15.75" customHeight="1"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S919" s="8"/>
    </row>
    <row r="920" ht="15.75" customHeight="1"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S920" s="8"/>
    </row>
    <row r="921" ht="15.75" customHeight="1"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S921" s="8"/>
    </row>
    <row r="922" ht="15.75" customHeight="1"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S922" s="8"/>
    </row>
    <row r="923" ht="15.75" customHeight="1"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S923" s="8"/>
    </row>
    <row r="924" ht="15.75" customHeight="1"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S924" s="8"/>
    </row>
    <row r="925" ht="15.75" customHeight="1"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S925" s="8"/>
    </row>
    <row r="926" ht="15.75" customHeight="1"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S926" s="8"/>
    </row>
    <row r="927" ht="15.75" customHeight="1"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S927" s="8"/>
    </row>
    <row r="928" ht="15.75" customHeight="1"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S928" s="8"/>
    </row>
    <row r="929" ht="15.75" customHeight="1"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S929" s="8"/>
    </row>
    <row r="930" ht="15.75" customHeight="1"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S930" s="8"/>
    </row>
    <row r="931" ht="15.75" customHeight="1"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S931" s="8"/>
    </row>
    <row r="932" ht="15.75" customHeight="1"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S932" s="8"/>
    </row>
    <row r="933" ht="15.75" customHeight="1"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S933" s="8"/>
    </row>
    <row r="934" ht="15.75" customHeight="1"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S934" s="8"/>
    </row>
    <row r="935" ht="15.75" customHeight="1"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S935" s="8"/>
    </row>
    <row r="936" ht="15.75" customHeight="1"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S936" s="8"/>
    </row>
    <row r="937" ht="15.75" customHeight="1"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S937" s="8"/>
    </row>
    <row r="938" ht="15.75" customHeight="1"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S938" s="8"/>
    </row>
    <row r="939" ht="15.75" customHeight="1"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S939" s="8"/>
    </row>
    <row r="940" ht="15.75" customHeight="1"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S940" s="8"/>
    </row>
    <row r="941" ht="15.75" customHeight="1"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S941" s="8"/>
    </row>
    <row r="942" ht="15.75" customHeight="1"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S942" s="8"/>
    </row>
    <row r="943" ht="15.75" customHeight="1"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S943" s="8"/>
    </row>
    <row r="944" ht="15.75" customHeight="1"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S944" s="8"/>
    </row>
    <row r="945" ht="15.75" customHeight="1"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S945" s="8"/>
    </row>
    <row r="946" ht="15.75" customHeight="1"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S946" s="8"/>
    </row>
    <row r="947" ht="15.75" customHeight="1"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S947" s="8"/>
    </row>
    <row r="948" ht="15.75" customHeight="1"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S948" s="8"/>
    </row>
    <row r="949" ht="15.75" customHeight="1"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S949" s="8"/>
    </row>
    <row r="950" ht="15.75" customHeight="1"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S950" s="8"/>
    </row>
    <row r="951" ht="15.75" customHeight="1"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S951" s="8"/>
    </row>
    <row r="952" ht="15.75" customHeight="1"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S952" s="8"/>
    </row>
    <row r="953" ht="15.75" customHeight="1"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S953" s="8"/>
    </row>
    <row r="954" ht="15.75" customHeight="1"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S954" s="8"/>
    </row>
    <row r="955" ht="15.75" customHeight="1"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S955" s="8"/>
    </row>
    <row r="956" ht="15.75" customHeight="1"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S956" s="8"/>
    </row>
    <row r="957" ht="15.75" customHeight="1"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S957" s="8"/>
    </row>
    <row r="958" ht="15.75" customHeight="1"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S958" s="8"/>
    </row>
    <row r="959" ht="15.75" customHeight="1"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S959" s="8"/>
    </row>
    <row r="960" ht="15.75" customHeight="1"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S960" s="8"/>
    </row>
    <row r="961" ht="15.75" customHeight="1"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S961" s="8"/>
    </row>
    <row r="962" ht="15.75" customHeight="1"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S962" s="8"/>
    </row>
    <row r="963" ht="15.75" customHeight="1"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S963" s="8"/>
    </row>
    <row r="964" ht="15.75" customHeight="1"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S964" s="8"/>
    </row>
    <row r="965" ht="15.75" customHeight="1"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S965" s="8"/>
    </row>
    <row r="966" ht="15.75" customHeight="1"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S966" s="8"/>
    </row>
    <row r="967" ht="15.75" customHeight="1"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S967" s="8"/>
    </row>
    <row r="968" ht="15.75" customHeight="1"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S968" s="8"/>
    </row>
    <row r="969" ht="15.75" customHeight="1"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S969" s="8"/>
    </row>
    <row r="970" ht="15.75" customHeight="1"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S970" s="8"/>
    </row>
    <row r="971" ht="15.75" customHeight="1"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S971" s="8"/>
    </row>
    <row r="972" ht="15.75" customHeight="1"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S972" s="8"/>
    </row>
    <row r="973" ht="15.75" customHeight="1"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S973" s="8"/>
    </row>
    <row r="974" ht="15.75" customHeight="1"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S974" s="8"/>
    </row>
    <row r="975" ht="15.75" customHeight="1"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S975" s="8"/>
    </row>
    <row r="976" ht="15.75" customHeight="1"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S976" s="8"/>
    </row>
    <row r="977" ht="15.75" customHeight="1"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S977" s="8"/>
    </row>
    <row r="978" ht="15.75" customHeight="1"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S978" s="8"/>
    </row>
    <row r="979" ht="15.75" customHeight="1"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S979" s="8"/>
    </row>
    <row r="980" ht="15.75" customHeight="1"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S980" s="8"/>
    </row>
    <row r="981" ht="15.75" customHeight="1"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S981" s="8"/>
    </row>
    <row r="982" ht="15.75" customHeight="1"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S982" s="8"/>
    </row>
    <row r="983" ht="15.75" customHeight="1"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S983" s="8"/>
    </row>
    <row r="984" ht="15.75" customHeight="1"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S984" s="8"/>
    </row>
    <row r="985" ht="15.75" customHeight="1"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S985" s="8"/>
    </row>
    <row r="986" ht="15.75" customHeight="1"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S986" s="8"/>
    </row>
    <row r="987" ht="15.75" customHeight="1"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S987" s="8"/>
    </row>
    <row r="988" ht="15.75" customHeight="1"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S988" s="8"/>
    </row>
    <row r="989" ht="15.75" customHeight="1"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S989" s="8"/>
    </row>
    <row r="990" ht="15.75" customHeight="1"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S990" s="8"/>
    </row>
    <row r="991" ht="15.75" customHeight="1"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S991" s="8"/>
    </row>
    <row r="992" ht="15.75" customHeight="1"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S992" s="8"/>
    </row>
    <row r="993" ht="15.75" customHeight="1"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S993" s="8"/>
    </row>
    <row r="994" ht="15.75" customHeight="1"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S994" s="8"/>
    </row>
    <row r="995" ht="15.75" customHeight="1"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S995" s="8"/>
    </row>
    <row r="996" ht="15.75" customHeight="1"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S996" s="8"/>
    </row>
    <row r="997" ht="15.75" customHeight="1"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S997" s="8"/>
    </row>
    <row r="998" ht="15.75" customHeight="1"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S998" s="8"/>
    </row>
    <row r="999" ht="15.75" customHeight="1"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S999" s="8"/>
    </row>
    <row r="1000" ht="15.75" customHeight="1"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S1000" s="8"/>
    </row>
  </sheetData>
  <mergeCells count="3">
    <mergeCell ref="A1:B1"/>
    <mergeCell ref="A35:B35"/>
    <mergeCell ref="A50:B50"/>
  </mergeCell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5.71"/>
    <col customWidth="1" min="2" max="5" width="9.14"/>
    <col customWidth="1" min="6" max="6" width="23.29"/>
    <col customWidth="1" min="7" max="7" width="16.0"/>
    <col customWidth="1" min="8" max="9" width="9.14"/>
    <col customWidth="1" min="10" max="10" width="29.57"/>
    <col customWidth="1" min="11" max="13" width="9.14"/>
    <col customWidth="1" min="14" max="14" width="19.71"/>
    <col customWidth="1" min="15" max="15" width="11.86"/>
    <col customWidth="1" min="16" max="16" width="11.71"/>
    <col customWidth="1" min="17" max="26" width="9.14"/>
  </cols>
  <sheetData>
    <row r="4">
      <c r="A4" s="59" t="s">
        <v>55</v>
      </c>
      <c r="B4" s="59">
        <f>'FUND 2025'!C50</f>
        <v>1000</v>
      </c>
    </row>
    <row r="5">
      <c r="A5" s="59" t="s">
        <v>56</v>
      </c>
      <c r="B5" s="59">
        <f>'FUND 2025'!D36</f>
        <v>520</v>
      </c>
    </row>
    <row r="6">
      <c r="A6" s="59" t="s">
        <v>53</v>
      </c>
      <c r="B6" s="61">
        <f>SUM(B4:B5)</f>
        <v>1520</v>
      </c>
      <c r="F6" s="59" t="s">
        <v>57</v>
      </c>
      <c r="H6" s="62">
        <v>21210.0</v>
      </c>
    </row>
    <row r="7">
      <c r="B7" s="63">
        <f>'FUND 2025'!C54-B6</f>
        <v>985</v>
      </c>
    </row>
    <row r="8">
      <c r="A8" s="59" t="s">
        <v>53</v>
      </c>
      <c r="B8" s="64">
        <f>SUM(B6:B7)</f>
        <v>2505</v>
      </c>
      <c r="F8" s="59" t="s">
        <v>58</v>
      </c>
      <c r="G8" s="62">
        <v>7000.0</v>
      </c>
    </row>
    <row r="9">
      <c r="A9" s="59" t="s">
        <v>59</v>
      </c>
      <c r="B9" s="63">
        <f>'FUND 2025'!E36</f>
        <v>580</v>
      </c>
      <c r="F9" s="59" t="s">
        <v>60</v>
      </c>
      <c r="G9" s="62">
        <v>6920.0</v>
      </c>
      <c r="H9" s="65">
        <f>G8+G9</f>
        <v>13920</v>
      </c>
    </row>
    <row r="10">
      <c r="A10" s="64" t="s">
        <v>41</v>
      </c>
      <c r="B10" s="20">
        <f>SUM(B8:B9)</f>
        <v>3085</v>
      </c>
      <c r="F10" s="64" t="s">
        <v>53</v>
      </c>
      <c r="H10" s="66">
        <f>H6-G9</f>
        <v>14290</v>
      </c>
    </row>
    <row r="11">
      <c r="A11" s="59" t="s">
        <v>61</v>
      </c>
      <c r="B11" s="59">
        <v>-50.0</v>
      </c>
      <c r="F11" s="64"/>
      <c r="J11" s="59" t="s">
        <v>62</v>
      </c>
      <c r="K11" s="64">
        <f>32*435</f>
        <v>13920</v>
      </c>
    </row>
    <row r="12">
      <c r="A12" s="59" t="s">
        <v>63</v>
      </c>
      <c r="B12" s="59">
        <v>-300.0</v>
      </c>
      <c r="F12" s="64"/>
      <c r="J12" s="59" t="s">
        <v>64</v>
      </c>
      <c r="K12" s="59">
        <f>31*315</f>
        <v>9765</v>
      </c>
    </row>
    <row r="13">
      <c r="A13" s="59" t="s">
        <v>65</v>
      </c>
      <c r="B13" s="63">
        <f>'FUND 2025'!F36</f>
        <v>580</v>
      </c>
      <c r="G13" s="20"/>
      <c r="J13" s="59" t="s">
        <v>66</v>
      </c>
      <c r="K13" s="59">
        <v>435.0</v>
      </c>
    </row>
    <row r="14">
      <c r="A14" s="64" t="s">
        <v>41</v>
      </c>
      <c r="B14" s="64">
        <f>SUM(B10,B11:B12,B13)</f>
        <v>3315</v>
      </c>
      <c r="F14" s="67"/>
      <c r="G14" s="20"/>
      <c r="I14" s="66"/>
      <c r="J14" s="59" t="s">
        <v>67</v>
      </c>
      <c r="K14" s="68">
        <f>K11-K12+K13</f>
        <v>4590</v>
      </c>
    </row>
    <row r="15">
      <c r="A15" s="59" t="s">
        <v>68</v>
      </c>
      <c r="B15" s="63">
        <f>'FUND 2025'!G36</f>
        <v>580</v>
      </c>
      <c r="C15" s="20"/>
      <c r="J15" s="59" t="s">
        <v>57</v>
      </c>
      <c r="K15" s="62">
        <v>21210.0</v>
      </c>
    </row>
    <row r="16">
      <c r="A16" s="64" t="s">
        <v>41</v>
      </c>
      <c r="B16" s="64">
        <f>SUM(B14:B15)</f>
        <v>3895</v>
      </c>
      <c r="I16" s="62"/>
      <c r="J16" s="64" t="s">
        <v>53</v>
      </c>
      <c r="K16" s="68">
        <f>K15-K14</f>
        <v>16620</v>
      </c>
    </row>
    <row r="17">
      <c r="A17" s="59" t="s">
        <v>69</v>
      </c>
      <c r="B17" s="63">
        <f>'FUND 2025'!H36</f>
        <v>570</v>
      </c>
      <c r="F17" s="64"/>
      <c r="J17" s="64" t="s">
        <v>70</v>
      </c>
      <c r="K17" s="59">
        <v>414.0</v>
      </c>
    </row>
    <row r="18">
      <c r="A18" s="64" t="s">
        <v>41</v>
      </c>
      <c r="B18" s="64">
        <f>B16+B17</f>
        <v>4465</v>
      </c>
      <c r="J18" s="64" t="s">
        <v>71</v>
      </c>
    </row>
    <row r="19">
      <c r="A19" s="59" t="s">
        <v>72</v>
      </c>
      <c r="B19" s="59">
        <f>'FUND 2025'!I36</f>
        <v>520</v>
      </c>
      <c r="F19" s="64"/>
      <c r="J19" s="59" t="s">
        <v>73</v>
      </c>
      <c r="K19" s="20">
        <v>50.0</v>
      </c>
    </row>
    <row r="20">
      <c r="A20" s="59" t="s">
        <v>74</v>
      </c>
      <c r="B20" s="59">
        <f>'FUND 2025'!J36</f>
        <v>500</v>
      </c>
      <c r="G20" s="69"/>
      <c r="J20" s="67" t="s">
        <v>75</v>
      </c>
      <c r="K20" s="20">
        <v>300.0</v>
      </c>
      <c r="L20" s="20">
        <f>K17+K19+K20</f>
        <v>764</v>
      </c>
    </row>
    <row r="21" ht="15.75" customHeight="1">
      <c r="A21" s="64" t="s">
        <v>41</v>
      </c>
      <c r="B21" s="70">
        <f>SUM(B18:B20)</f>
        <v>5485</v>
      </c>
      <c r="J21" s="59" t="s">
        <v>53</v>
      </c>
      <c r="L21" s="71">
        <f>K16-L20</f>
        <v>15856</v>
      </c>
    </row>
    <row r="22" ht="15.75" customHeight="1">
      <c r="A22" s="59" t="s">
        <v>76</v>
      </c>
      <c r="B22" s="59">
        <f>'FUND 2025'!K36</f>
        <v>460</v>
      </c>
      <c r="J22" s="59" t="s">
        <v>77</v>
      </c>
      <c r="L22" s="62">
        <f>SUM(B4,B5,B9,B13,B15,B17,B19,B20,B22,B23:B26)</f>
        <v>6650</v>
      </c>
    </row>
    <row r="23" ht="15.75" customHeight="1">
      <c r="A23" s="59" t="s">
        <v>78</v>
      </c>
      <c r="B23" s="59">
        <f>'FUND 2025'!L36</f>
        <v>420</v>
      </c>
      <c r="J23" s="64" t="s">
        <v>53</v>
      </c>
      <c r="L23" s="66">
        <f>L21+L22</f>
        <v>22506</v>
      </c>
      <c r="Q23" s="62"/>
    </row>
    <row r="24" ht="15.75" customHeight="1">
      <c r="A24" s="59" t="s">
        <v>79</v>
      </c>
      <c r="B24" s="59">
        <f>'FUND 2025'!M36</f>
        <v>360</v>
      </c>
      <c r="G24" s="59" t="s">
        <v>80</v>
      </c>
      <c r="H24" s="59">
        <f>25*2</f>
        <v>50</v>
      </c>
      <c r="J24" s="59" t="s">
        <v>81</v>
      </c>
      <c r="K24" s="59">
        <v>500.0</v>
      </c>
      <c r="Q24" s="62"/>
    </row>
    <row r="25" ht="15.75" customHeight="1">
      <c r="A25" s="59" t="s">
        <v>82</v>
      </c>
      <c r="B25" s="59">
        <f>'FUND 2025'!N36</f>
        <v>300</v>
      </c>
      <c r="G25" s="59" t="s">
        <v>83</v>
      </c>
      <c r="H25" s="59">
        <f>45*2</f>
        <v>90</v>
      </c>
      <c r="J25" s="59" t="s">
        <v>84</v>
      </c>
      <c r="K25" s="59">
        <v>250.0</v>
      </c>
      <c r="L25" s="59">
        <f>K24+K25</f>
        <v>750</v>
      </c>
      <c r="R25" s="62"/>
    </row>
    <row r="26" ht="13.5" customHeight="1">
      <c r="A26" s="59" t="s">
        <v>85</v>
      </c>
      <c r="B26" s="59">
        <f>'FUND 2025'!O36</f>
        <v>260</v>
      </c>
      <c r="G26" s="59" t="s">
        <v>86</v>
      </c>
      <c r="H26" s="59">
        <f>25*2</f>
        <v>50</v>
      </c>
      <c r="J26" s="64" t="s">
        <v>53</v>
      </c>
      <c r="L26" s="66">
        <f>L23-L25</f>
        <v>21756</v>
      </c>
    </row>
    <row r="27" ht="19.5" customHeight="1">
      <c r="G27" s="59" t="s">
        <v>87</v>
      </c>
      <c r="H27" s="20">
        <v>60.0</v>
      </c>
      <c r="J27" s="64" t="s">
        <v>88</v>
      </c>
      <c r="L27" s="62"/>
    </row>
    <row r="28" ht="15.75" customHeight="1">
      <c r="A28" s="64" t="s">
        <v>41</v>
      </c>
      <c r="B28" s="70">
        <f>SUM(B21:B27)</f>
        <v>7285</v>
      </c>
      <c r="G28" s="59" t="s">
        <v>89</v>
      </c>
      <c r="H28" s="20">
        <f>12*2+11*2</f>
        <v>46</v>
      </c>
      <c r="J28" s="20" t="s">
        <v>90</v>
      </c>
      <c r="K28" s="59">
        <f>1000</f>
        <v>1000</v>
      </c>
    </row>
    <row r="29" ht="15.75" customHeight="1">
      <c r="G29" s="59" t="s">
        <v>41</v>
      </c>
      <c r="H29" s="20">
        <f>SUM(H24:H28)</f>
        <v>296</v>
      </c>
      <c r="J29" s="20" t="s">
        <v>91</v>
      </c>
      <c r="K29" s="59">
        <f>48+50+50+51.7+110.25</f>
        <v>309.95</v>
      </c>
      <c r="L29" s="66"/>
    </row>
    <row r="30" ht="15.75" customHeight="1">
      <c r="G30" s="59" t="s">
        <v>92</v>
      </c>
      <c r="H30" s="64">
        <f>H29*2</f>
        <v>592</v>
      </c>
      <c r="J30" s="20" t="s">
        <v>93</v>
      </c>
      <c r="K30" s="59">
        <f>275+158.55+131</f>
        <v>564.55</v>
      </c>
      <c r="N30" s="64" t="s">
        <v>94</v>
      </c>
      <c r="O30" s="72">
        <v>17873.0</v>
      </c>
    </row>
    <row r="31" ht="15.75" customHeight="1">
      <c r="J31" s="20" t="s">
        <v>95</v>
      </c>
      <c r="K31" s="59">
        <f>132+61.75+65</f>
        <v>258.75</v>
      </c>
    </row>
    <row r="32" ht="15.75" customHeight="1">
      <c r="J32" s="20" t="s">
        <v>96</v>
      </c>
      <c r="K32" s="59">
        <f>58+43+59+14+35+75</f>
        <v>284</v>
      </c>
    </row>
    <row r="33" ht="15.75" customHeight="1">
      <c r="J33" s="20" t="s">
        <v>97</v>
      </c>
      <c r="K33" s="59">
        <f>517.6+62.75</f>
        <v>580.35</v>
      </c>
    </row>
    <row r="34" ht="15.75" customHeight="1">
      <c r="F34" s="20" t="s">
        <v>98</v>
      </c>
      <c r="G34" s="64">
        <v>5446.0</v>
      </c>
      <c r="J34" s="20" t="s">
        <v>99</v>
      </c>
      <c r="K34" s="59">
        <v>6000.0</v>
      </c>
    </row>
    <row r="35" ht="15.75" customHeight="1">
      <c r="F35" s="59" t="s">
        <v>100</v>
      </c>
      <c r="J35" s="20" t="s">
        <v>101</v>
      </c>
      <c r="K35" s="59">
        <v>30.0</v>
      </c>
    </row>
    <row r="36" ht="15.75" customHeight="1">
      <c r="F36" s="59" t="s">
        <v>102</v>
      </c>
      <c r="G36" s="59">
        <v>1000.0</v>
      </c>
      <c r="J36" s="20" t="s">
        <v>103</v>
      </c>
      <c r="K36" s="59">
        <v>300.0</v>
      </c>
    </row>
    <row r="37" ht="15.75" customHeight="1">
      <c r="F37" s="20" t="s">
        <v>104</v>
      </c>
      <c r="G37" s="59">
        <v>2000.0</v>
      </c>
      <c r="J37" s="20" t="s">
        <v>105</v>
      </c>
      <c r="K37" s="59">
        <v>35.0</v>
      </c>
    </row>
    <row r="38" ht="15.75" customHeight="1">
      <c r="F38" s="59" t="s">
        <v>106</v>
      </c>
      <c r="G38" s="59">
        <v>598.0</v>
      </c>
      <c r="J38" s="20" t="s">
        <v>107</v>
      </c>
      <c r="K38" s="59">
        <v>110.25</v>
      </c>
    </row>
    <row r="39" ht="15.75" customHeight="1">
      <c r="G39" s="59">
        <v>110.0</v>
      </c>
      <c r="J39" s="20" t="s">
        <v>104</v>
      </c>
      <c r="K39" s="59">
        <v>3200.0</v>
      </c>
      <c r="L39" s="59">
        <f>SUM(K28:K39)</f>
        <v>12672.85</v>
      </c>
    </row>
    <row r="40" ht="15.75" customHeight="1">
      <c r="G40" s="59">
        <v>130.0</v>
      </c>
      <c r="J40" s="64" t="s">
        <v>108</v>
      </c>
      <c r="L40" s="68">
        <f>L26-L39</f>
        <v>9083.15</v>
      </c>
    </row>
    <row r="41" ht="15.75" customHeight="1">
      <c r="G41" s="59">
        <f>95+140</f>
        <v>235</v>
      </c>
      <c r="H41" s="59">
        <f>SUM(G38:G41)</f>
        <v>1073</v>
      </c>
      <c r="J41" s="20" t="s">
        <v>109</v>
      </c>
      <c r="L41" s="59">
        <f>150*29+50</f>
        <v>4400</v>
      </c>
    </row>
    <row r="42" ht="15.75" customHeight="1">
      <c r="F42" s="59" t="s">
        <v>110</v>
      </c>
      <c r="G42" s="59">
        <v>41.0</v>
      </c>
      <c r="J42" s="8" t="s">
        <v>111</v>
      </c>
      <c r="L42" s="59">
        <f>1600*2</f>
        <v>3200</v>
      </c>
    </row>
    <row r="43" ht="15.75" customHeight="1">
      <c r="G43" s="59">
        <v>51.0</v>
      </c>
      <c r="J43" s="64" t="s">
        <v>112</v>
      </c>
      <c r="K43" s="20"/>
      <c r="L43" s="73">
        <f>L40+L41+L42</f>
        <v>16683.15</v>
      </c>
    </row>
    <row r="44" ht="15.75" customHeight="1">
      <c r="G44" s="59">
        <v>300.0</v>
      </c>
      <c r="J44" s="20" t="s">
        <v>101</v>
      </c>
      <c r="L44" s="62">
        <v>35.0</v>
      </c>
    </row>
    <row r="45" ht="15.75" customHeight="1">
      <c r="G45" s="59">
        <v>500.0</v>
      </c>
      <c r="H45" s="59">
        <f>SUM(G42:G45)</f>
        <v>892</v>
      </c>
      <c r="J45" s="20" t="s">
        <v>113</v>
      </c>
      <c r="L45" s="62">
        <v>1215.0</v>
      </c>
    </row>
    <row r="46" ht="15.75" customHeight="1">
      <c r="F46" s="64" t="s">
        <v>114</v>
      </c>
      <c r="H46" s="64">
        <f>H41+H45+G36+G37</f>
        <v>4965</v>
      </c>
      <c r="J46" s="64" t="s">
        <v>112</v>
      </c>
      <c r="L46" s="73">
        <f>L43-L44+L45</f>
        <v>17863.15</v>
      </c>
    </row>
    <row r="47" ht="15.75" customHeight="1">
      <c r="F47" s="20" t="s">
        <v>115</v>
      </c>
      <c r="H47" s="74">
        <f>G34-H46</f>
        <v>481</v>
      </c>
      <c r="J47" s="20" t="s">
        <v>116</v>
      </c>
      <c r="L47" s="59">
        <v>300.0</v>
      </c>
    </row>
    <row r="48" ht="15.75" customHeight="1">
      <c r="J48" s="20" t="s">
        <v>117</v>
      </c>
      <c r="L48" s="66">
        <f>L46+L47</f>
        <v>18163.15</v>
      </c>
    </row>
    <row r="49" ht="15.75" customHeight="1">
      <c r="J49" s="20"/>
      <c r="L49" s="62"/>
    </row>
    <row r="50" ht="15.75" customHeight="1">
      <c r="J50" s="20"/>
      <c r="K50" s="20"/>
    </row>
    <row r="51" ht="15.75" customHeight="1">
      <c r="L51" s="62"/>
      <c r="M51" s="20"/>
    </row>
    <row r="52" ht="15.75" customHeight="1">
      <c r="L52" s="62"/>
    </row>
    <row r="53" ht="15.75" customHeight="1">
      <c r="L53" s="62"/>
    </row>
    <row r="54" ht="15.75" customHeight="1">
      <c r="L54" s="62"/>
    </row>
    <row r="55" ht="15.75" customHeight="1"/>
    <row r="56" ht="15.75" customHeight="1">
      <c r="L56" s="62"/>
    </row>
    <row r="57" ht="15.75" customHeight="1">
      <c r="L57" s="62"/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9.14"/>
    <col customWidth="1" min="5" max="5" width="15.14"/>
    <col customWidth="1" min="6" max="25" width="9.14"/>
    <col customWidth="1" min="26" max="26" width="16.29"/>
    <col customWidth="1" min="27" max="27" width="9.14"/>
  </cols>
  <sheetData>
    <row r="1">
      <c r="A1" s="75" t="s">
        <v>118</v>
      </c>
      <c r="B1" s="76"/>
      <c r="C1" s="76"/>
      <c r="D1" s="76"/>
      <c r="E1" s="76"/>
      <c r="F1" s="76"/>
      <c r="G1" s="76"/>
      <c r="H1" s="75" t="s">
        <v>119</v>
      </c>
      <c r="I1" s="76"/>
      <c r="J1" s="76"/>
      <c r="Q1" s="59" t="s">
        <v>120</v>
      </c>
    </row>
    <row r="2">
      <c r="E2" s="59" t="s">
        <v>121</v>
      </c>
      <c r="F2" s="59">
        <v>4000.0</v>
      </c>
      <c r="H2" s="77" t="s">
        <v>122</v>
      </c>
      <c r="O2" s="78" t="s">
        <v>123</v>
      </c>
      <c r="P2" s="78" t="s">
        <v>124</v>
      </c>
      <c r="Q2" s="78"/>
    </row>
    <row r="3">
      <c r="A3" s="59" t="s">
        <v>95</v>
      </c>
      <c r="C3" s="59">
        <f>85*34</f>
        <v>2890</v>
      </c>
      <c r="E3" s="59" t="s">
        <v>125</v>
      </c>
      <c r="F3" s="66">
        <f>'2025 '!L26</f>
        <v>21756</v>
      </c>
      <c r="H3" s="59" t="s">
        <v>95</v>
      </c>
      <c r="J3" s="59">
        <f>C3</f>
        <v>2890</v>
      </c>
      <c r="O3" s="59" t="s">
        <v>95</v>
      </c>
      <c r="Q3" s="59">
        <f>J3</f>
        <v>2890</v>
      </c>
    </row>
    <row r="4">
      <c r="A4" s="59" t="s">
        <v>126</v>
      </c>
      <c r="C4" s="59">
        <v>13500.0</v>
      </c>
      <c r="F4" s="79">
        <f>F2+F3</f>
        <v>25756</v>
      </c>
      <c r="H4" s="59" t="s">
        <v>110</v>
      </c>
      <c r="J4" s="59">
        <f>300*2</f>
        <v>600</v>
      </c>
      <c r="K4" s="59">
        <f>J3+J4</f>
        <v>3490</v>
      </c>
      <c r="M4" s="8" t="s">
        <v>127</v>
      </c>
      <c r="O4" s="59" t="s">
        <v>110</v>
      </c>
      <c r="Q4" s="59">
        <f>500*2</f>
        <v>1000</v>
      </c>
    </row>
    <row r="5">
      <c r="A5" s="59" t="s">
        <v>110</v>
      </c>
      <c r="C5" s="59">
        <f>300*2</f>
        <v>600</v>
      </c>
      <c r="E5" s="59" t="s">
        <v>128</v>
      </c>
      <c r="F5" s="59">
        <v>10000.0</v>
      </c>
      <c r="H5" s="59" t="s">
        <v>129</v>
      </c>
      <c r="J5" s="59">
        <f>E12</f>
        <v>2950</v>
      </c>
      <c r="O5" s="59" t="s">
        <v>130</v>
      </c>
      <c r="Q5" s="59">
        <f>55*2</f>
        <v>110</v>
      </c>
      <c r="R5" s="59">
        <f>Q3+Q5+Q4</f>
        <v>4000</v>
      </c>
      <c r="T5" s="8" t="s">
        <v>127</v>
      </c>
    </row>
    <row r="6">
      <c r="A6" s="59" t="s">
        <v>41</v>
      </c>
      <c r="C6" s="80">
        <f>SUM(C3:C5)</f>
        <v>16990</v>
      </c>
      <c r="F6" s="62">
        <f>F4-F5</f>
        <v>15756</v>
      </c>
      <c r="H6" s="59" t="s">
        <v>126</v>
      </c>
      <c r="J6" s="20">
        <f>B16</f>
        <v>5750</v>
      </c>
      <c r="O6" s="59" t="s">
        <v>129</v>
      </c>
      <c r="Q6" s="59">
        <f>J5</f>
        <v>2950</v>
      </c>
      <c r="Z6" s="81"/>
      <c r="AA6" s="81"/>
    </row>
    <row r="7">
      <c r="H7" s="59" t="s">
        <v>131</v>
      </c>
      <c r="J7" s="59">
        <v>200.0</v>
      </c>
      <c r="K7" s="20">
        <f>J5+J6+J7</f>
        <v>8900</v>
      </c>
      <c r="M7" s="8" t="s">
        <v>125</v>
      </c>
      <c r="O7" s="59" t="s">
        <v>126</v>
      </c>
      <c r="Q7" s="20">
        <f>P14</f>
        <v>2900</v>
      </c>
      <c r="AA7" s="64"/>
    </row>
    <row r="8">
      <c r="A8" s="64" t="s">
        <v>132</v>
      </c>
      <c r="H8" s="59" t="s">
        <v>133</v>
      </c>
      <c r="K8" s="63">
        <v>300.0</v>
      </c>
      <c r="O8" s="59" t="s">
        <v>131</v>
      </c>
      <c r="Q8" s="59">
        <v>200.0</v>
      </c>
      <c r="R8" s="20">
        <f>Q6+Q7+Q8</f>
        <v>6050</v>
      </c>
      <c r="T8" s="8" t="s">
        <v>125</v>
      </c>
      <c r="V8" s="82" t="s">
        <v>134</v>
      </c>
      <c r="W8" s="83">
        <f>15000-R10</f>
        <v>4650</v>
      </c>
    </row>
    <row r="9">
      <c r="H9" s="64" t="s">
        <v>135</v>
      </c>
      <c r="K9" s="84">
        <f>SUM(K4:K8)</f>
        <v>12690</v>
      </c>
      <c r="O9" s="59" t="s">
        <v>133</v>
      </c>
      <c r="R9" s="63">
        <v>300.0</v>
      </c>
    </row>
    <row r="10">
      <c r="A10" s="59" t="s">
        <v>136</v>
      </c>
      <c r="C10" s="59">
        <f>300*31</f>
        <v>9300</v>
      </c>
      <c r="O10" s="64" t="s">
        <v>135</v>
      </c>
      <c r="R10" s="84">
        <f>SUM(R5:R9)</f>
        <v>10350</v>
      </c>
    </row>
    <row r="11">
      <c r="A11" s="59" t="s">
        <v>129</v>
      </c>
      <c r="C11" s="59">
        <f>4500</f>
        <v>4500</v>
      </c>
      <c r="E11" s="59">
        <f>50*31</f>
        <v>1550</v>
      </c>
      <c r="F11" s="69" t="s">
        <v>137</v>
      </c>
      <c r="H11" s="64" t="s">
        <v>132</v>
      </c>
    </row>
    <row r="12">
      <c r="A12" s="59" t="s">
        <v>41</v>
      </c>
      <c r="C12" s="80">
        <f>SUM(C10:C11)</f>
        <v>13800</v>
      </c>
      <c r="E12" s="59">
        <f>C11-E11</f>
        <v>2950</v>
      </c>
      <c r="F12" s="69" t="s">
        <v>125</v>
      </c>
      <c r="H12" s="59" t="s">
        <v>136</v>
      </c>
      <c r="J12" s="59">
        <f>B15/31</f>
        <v>250</v>
      </c>
      <c r="K12" s="59">
        <f>B15</f>
        <v>7750</v>
      </c>
      <c r="O12" s="59" t="s">
        <v>126</v>
      </c>
      <c r="P12" s="59">
        <v>6000.0</v>
      </c>
      <c r="S12" s="64" t="s">
        <v>132</v>
      </c>
      <c r="X12" s="64">
        <f>W15-100+'2025 '!L39-1000</f>
        <v>16072.85</v>
      </c>
    </row>
    <row r="13">
      <c r="H13" s="59" t="s">
        <v>129</v>
      </c>
      <c r="J13" s="63">
        <f>60</f>
        <v>60</v>
      </c>
      <c r="K13" s="63">
        <f>E11</f>
        <v>1550</v>
      </c>
      <c r="O13" s="59" t="s">
        <v>136</v>
      </c>
      <c r="P13" s="59">
        <f>100*31</f>
        <v>3100</v>
      </c>
      <c r="S13" s="59" t="s">
        <v>136</v>
      </c>
      <c r="U13" s="59">
        <f>P13/31</f>
        <v>100</v>
      </c>
      <c r="V13" s="59">
        <f>U13*31</f>
        <v>3100</v>
      </c>
    </row>
    <row r="14">
      <c r="A14" s="59" t="s">
        <v>126</v>
      </c>
      <c r="B14" s="59">
        <v>13500.0</v>
      </c>
      <c r="H14" s="64" t="s">
        <v>135</v>
      </c>
      <c r="J14" s="64">
        <f t="shared" ref="J14:K14" si="1">J12+J13</f>
        <v>310</v>
      </c>
      <c r="K14" s="64">
        <f t="shared" si="1"/>
        <v>9300</v>
      </c>
      <c r="P14" s="80">
        <f>P12-P13</f>
        <v>2900</v>
      </c>
      <c r="Q14" s="59" t="s">
        <v>138</v>
      </c>
      <c r="S14" s="59" t="s">
        <v>129</v>
      </c>
      <c r="U14" s="63">
        <v>50.0</v>
      </c>
      <c r="V14" s="63">
        <f>K13</f>
        <v>1550</v>
      </c>
    </row>
    <row r="15">
      <c r="A15" s="59" t="s">
        <v>136</v>
      </c>
      <c r="B15" s="59">
        <f>250*31</f>
        <v>7750</v>
      </c>
      <c r="J15" s="8" t="s">
        <v>139</v>
      </c>
      <c r="S15" s="64" t="s">
        <v>135</v>
      </c>
      <c r="U15" s="64">
        <f t="shared" ref="U15:V15" si="2">U13+U14</f>
        <v>150</v>
      </c>
      <c r="V15" s="64">
        <f t="shared" si="2"/>
        <v>4650</v>
      </c>
      <c r="W15" s="64">
        <f>150*30</f>
        <v>4500</v>
      </c>
      <c r="Y15" s="59">
        <v>2000.0</v>
      </c>
    </row>
    <row r="16">
      <c r="B16" s="80">
        <f>B14-B15</f>
        <v>5750</v>
      </c>
      <c r="C16" s="59" t="s">
        <v>138</v>
      </c>
      <c r="N16" s="57" t="s">
        <v>140</v>
      </c>
      <c r="U16" s="8" t="s">
        <v>139</v>
      </c>
      <c r="Y16" s="59">
        <f>V14</f>
        <v>1550</v>
      </c>
    </row>
    <row r="17">
      <c r="K17" s="82" t="s">
        <v>134</v>
      </c>
      <c r="L17" s="83">
        <f>15000-K9</f>
        <v>2310</v>
      </c>
      <c r="N17" s="57" t="s">
        <v>141</v>
      </c>
      <c r="O17" s="57"/>
      <c r="P17" s="57"/>
      <c r="Q17" s="57"/>
      <c r="X17" s="59" t="s">
        <v>142</v>
      </c>
      <c r="Y17" s="59">
        <f>5000-SUM(Y15:Y16)</f>
        <v>1450</v>
      </c>
      <c r="Z17" s="59">
        <f>Y17+1500</f>
        <v>2950</v>
      </c>
    </row>
    <row r="18">
      <c r="N18" s="64">
        <v>2.0</v>
      </c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</row>
    <row r="19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20"/>
    </row>
    <row r="20">
      <c r="A20" s="59" t="s">
        <v>95</v>
      </c>
      <c r="C20" s="59">
        <f>85*34</f>
        <v>2890</v>
      </c>
    </row>
    <row r="21" ht="15.75" customHeight="1">
      <c r="A21" s="59" t="s">
        <v>110</v>
      </c>
      <c r="C21" s="59">
        <f>300*2</f>
        <v>600</v>
      </c>
      <c r="E21" s="64" t="s">
        <v>132</v>
      </c>
    </row>
    <row r="22" ht="15.75" customHeight="1">
      <c r="A22" s="59" t="s">
        <v>129</v>
      </c>
      <c r="C22" s="59">
        <f>J5</f>
        <v>2950</v>
      </c>
      <c r="E22" s="59" t="s">
        <v>136</v>
      </c>
      <c r="G22" s="59">
        <v>110.0</v>
      </c>
      <c r="H22" s="59">
        <f>G22*31</f>
        <v>3410</v>
      </c>
    </row>
    <row r="23" ht="15.75" customHeight="1">
      <c r="A23" s="59" t="s">
        <v>143</v>
      </c>
      <c r="C23" s="20">
        <v>6000.0</v>
      </c>
      <c r="E23" s="59" t="s">
        <v>129</v>
      </c>
      <c r="G23" s="63">
        <f>60</f>
        <v>60</v>
      </c>
      <c r="H23" s="63">
        <f>E11</f>
        <v>1550</v>
      </c>
      <c r="J23" s="57" t="s">
        <v>144</v>
      </c>
    </row>
    <row r="24" ht="15.75" customHeight="1">
      <c r="A24" s="59" t="s">
        <v>145</v>
      </c>
      <c r="C24" s="59">
        <f>110*3</f>
        <v>330</v>
      </c>
      <c r="E24" s="64" t="s">
        <v>135</v>
      </c>
      <c r="G24" s="64">
        <f t="shared" ref="G24:H24" si="3">G22+G23</f>
        <v>170</v>
      </c>
      <c r="H24" s="64">
        <f t="shared" si="3"/>
        <v>4960</v>
      </c>
      <c r="J24" s="57" t="s">
        <v>146</v>
      </c>
      <c r="M24" s="57"/>
    </row>
    <row r="25" ht="15.75" customHeight="1">
      <c r="A25" s="59" t="s">
        <v>147</v>
      </c>
      <c r="C25" s="59">
        <v>1500.0</v>
      </c>
      <c r="M25" s="57"/>
    </row>
    <row r="26" ht="15.75" customHeight="1">
      <c r="A26" s="59" t="s">
        <v>131</v>
      </c>
      <c r="C26" s="59">
        <v>200.0</v>
      </c>
      <c r="G26" s="82" t="s">
        <v>134</v>
      </c>
      <c r="H26" s="83">
        <f>15000-C28</f>
        <v>230</v>
      </c>
    </row>
    <row r="27" ht="15.75" customHeight="1">
      <c r="A27" s="59" t="s">
        <v>133</v>
      </c>
      <c r="C27" s="59">
        <v>300.0</v>
      </c>
    </row>
    <row r="28" ht="15.75" customHeight="1">
      <c r="A28" s="64" t="s">
        <v>135</v>
      </c>
      <c r="C28" s="70">
        <f>SUM(C20:C27)</f>
        <v>14770</v>
      </c>
      <c r="N28" s="64">
        <v>1.0</v>
      </c>
    </row>
    <row r="29" ht="15.75" customHeight="1"/>
    <row r="30" ht="15.75" customHeight="1"/>
    <row r="31" ht="15.75" customHeight="1">
      <c r="A31" s="59" t="s">
        <v>121</v>
      </c>
      <c r="B31" s="59">
        <v>4000.0</v>
      </c>
    </row>
    <row r="32" ht="15.75" customHeight="1">
      <c r="A32" s="59" t="s">
        <v>125</v>
      </c>
      <c r="B32" s="66">
        <f>F3</f>
        <v>21756</v>
      </c>
    </row>
    <row r="33" ht="15.75" customHeight="1">
      <c r="B33" s="79">
        <f>B31+B32</f>
        <v>25756</v>
      </c>
    </row>
    <row r="34" ht="15.75" customHeight="1"/>
    <row r="35" ht="15.75" customHeight="1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</row>
    <row r="36" ht="15.75" customHeight="1">
      <c r="A36" s="59" t="s">
        <v>95</v>
      </c>
      <c r="C36" s="59">
        <f>85*34</f>
        <v>2890</v>
      </c>
      <c r="E36" s="64" t="s">
        <v>132</v>
      </c>
    </row>
    <row r="37" ht="15.75" customHeight="1">
      <c r="A37" s="59" t="s">
        <v>110</v>
      </c>
      <c r="C37" s="59">
        <f>300*2</f>
        <v>600</v>
      </c>
      <c r="E37" s="59" t="s">
        <v>136</v>
      </c>
      <c r="G37" s="59">
        <v>150.0</v>
      </c>
      <c r="H37" s="59">
        <f>G37*31</f>
        <v>4650</v>
      </c>
    </row>
    <row r="38" ht="15.75" customHeight="1">
      <c r="A38" s="59" t="s">
        <v>129</v>
      </c>
      <c r="C38" s="59">
        <f>E12</f>
        <v>2950</v>
      </c>
      <c r="E38" s="59" t="s">
        <v>129</v>
      </c>
      <c r="G38" s="63">
        <f>60</f>
        <v>60</v>
      </c>
      <c r="H38" s="63">
        <f>E11</f>
        <v>1550</v>
      </c>
    </row>
    <row r="39" ht="15.75" customHeight="1">
      <c r="A39" s="59" t="s">
        <v>143</v>
      </c>
      <c r="C39" s="20">
        <v>5000.0</v>
      </c>
      <c r="E39" s="64" t="s">
        <v>135</v>
      </c>
      <c r="G39" s="64">
        <f t="shared" ref="G39:H39" si="4">G37+G38</f>
        <v>210</v>
      </c>
      <c r="H39" s="64">
        <f t="shared" si="4"/>
        <v>6200</v>
      </c>
    </row>
    <row r="40" ht="15.75" customHeight="1">
      <c r="A40" s="59" t="s">
        <v>145</v>
      </c>
      <c r="C40" s="59">
        <f>150*3</f>
        <v>450</v>
      </c>
    </row>
    <row r="41" ht="15.75" customHeight="1">
      <c r="A41" s="59" t="s">
        <v>131</v>
      </c>
      <c r="C41" s="59">
        <v>200.0</v>
      </c>
      <c r="G41" s="82" t="s">
        <v>134</v>
      </c>
      <c r="H41" s="83">
        <f>15000-C44</f>
        <v>610</v>
      </c>
      <c r="J41" s="57" t="s">
        <v>148</v>
      </c>
    </row>
    <row r="42" ht="15.75" customHeight="1">
      <c r="A42" s="59" t="s">
        <v>147</v>
      </c>
      <c r="C42" s="59">
        <v>2000.0</v>
      </c>
      <c r="M42" s="64"/>
    </row>
    <row r="43" ht="15.75" customHeight="1">
      <c r="A43" s="59" t="s">
        <v>133</v>
      </c>
      <c r="C43" s="59">
        <v>300.0</v>
      </c>
      <c r="N43" s="64">
        <v>1.0</v>
      </c>
    </row>
    <row r="44" ht="15.75" customHeight="1">
      <c r="A44" s="64" t="s">
        <v>135</v>
      </c>
      <c r="C44" s="70">
        <f>SUM(C36:C43)</f>
        <v>14390</v>
      </c>
    </row>
    <row r="45" ht="15.75" customHeight="1"/>
    <row r="46" ht="15.75" customHeight="1">
      <c r="A46" s="59" t="s">
        <v>121</v>
      </c>
      <c r="B46" s="59">
        <v>4000.0</v>
      </c>
    </row>
    <row r="47" ht="15.75" customHeight="1">
      <c r="A47" s="59" t="s">
        <v>125</v>
      </c>
      <c r="B47" s="66">
        <f>F3</f>
        <v>21756</v>
      </c>
    </row>
    <row r="48" ht="15.75" customHeight="1">
      <c r="B48" s="79">
        <f>B46+B47</f>
        <v>25756</v>
      </c>
    </row>
    <row r="49" ht="15.75" customHeight="1"/>
    <row r="50" ht="15.75" customHeight="1"/>
    <row r="51" ht="15.75" customHeight="1"/>
    <row r="52" ht="15.75" customHeight="1"/>
    <row r="53" ht="15.75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</row>
    <row r="54" ht="15.75" customHeight="1"/>
    <row r="55" ht="15.75" customHeight="1">
      <c r="A55" s="59" t="s">
        <v>95</v>
      </c>
      <c r="C55" s="59">
        <f>85*34</f>
        <v>2890</v>
      </c>
      <c r="E55" s="64" t="s">
        <v>132</v>
      </c>
    </row>
    <row r="56" ht="15.75" customHeight="1">
      <c r="A56" s="59" t="s">
        <v>110</v>
      </c>
      <c r="C56" s="59">
        <f>300*2</f>
        <v>600</v>
      </c>
      <c r="E56" s="59" t="s">
        <v>136</v>
      </c>
      <c r="G56" s="59">
        <v>70.0</v>
      </c>
      <c r="H56" s="59">
        <f>G56*31</f>
        <v>2170</v>
      </c>
    </row>
    <row r="57" ht="15.75" customHeight="1">
      <c r="A57" s="59" t="s">
        <v>129</v>
      </c>
      <c r="C57" s="59">
        <f>E12</f>
        <v>2950</v>
      </c>
      <c r="E57" s="59" t="s">
        <v>129</v>
      </c>
      <c r="G57" s="63">
        <f>60</f>
        <v>60</v>
      </c>
      <c r="H57" s="63">
        <f>E11</f>
        <v>1550</v>
      </c>
    </row>
    <row r="58" ht="15.75" customHeight="1">
      <c r="A58" s="59" t="s">
        <v>143</v>
      </c>
      <c r="C58" s="62">
        <v>5200.0</v>
      </c>
      <c r="E58" s="64" t="s">
        <v>135</v>
      </c>
      <c r="G58" s="64">
        <f t="shared" ref="G58:H58" si="5">G56+G57</f>
        <v>130</v>
      </c>
      <c r="H58" s="64">
        <f t="shared" si="5"/>
        <v>3720</v>
      </c>
    </row>
    <row r="59" ht="15.75" customHeight="1">
      <c r="A59" s="59" t="s">
        <v>145</v>
      </c>
      <c r="C59" s="59">
        <f>150*3</f>
        <v>450</v>
      </c>
    </row>
    <row r="60" ht="15.75" customHeight="1">
      <c r="A60" s="59" t="s">
        <v>131</v>
      </c>
      <c r="C60" s="59">
        <v>200.0</v>
      </c>
      <c r="G60" s="82" t="s">
        <v>134</v>
      </c>
      <c r="H60" s="83">
        <f>15000-C64</f>
        <v>760</v>
      </c>
    </row>
    <row r="61" ht="15.75" customHeight="1">
      <c r="A61" s="59" t="s">
        <v>147</v>
      </c>
      <c r="C61" s="59">
        <v>1500.0</v>
      </c>
      <c r="J61" s="57" t="s">
        <v>149</v>
      </c>
    </row>
    <row r="62" ht="15.75" customHeight="1">
      <c r="A62" s="59" t="s">
        <v>150</v>
      </c>
      <c r="C62" s="59">
        <v>150.0</v>
      </c>
    </row>
    <row r="63" ht="15.75" customHeight="1">
      <c r="A63" s="59" t="s">
        <v>133</v>
      </c>
      <c r="C63" s="59">
        <v>300.0</v>
      </c>
    </row>
    <row r="64" ht="15.75" customHeight="1">
      <c r="A64" s="64" t="s">
        <v>135</v>
      </c>
      <c r="C64" s="70">
        <f>SUM(C55:C63)</f>
        <v>14240</v>
      </c>
    </row>
    <row r="65" ht="15.75" customHeight="1"/>
    <row r="66" ht="15.75" customHeight="1"/>
    <row r="67" ht="15.75" customHeight="1">
      <c r="A67" s="59" t="s">
        <v>121</v>
      </c>
      <c r="B67" s="59">
        <v>4000.0</v>
      </c>
    </row>
    <row r="68" ht="15.75" customHeight="1">
      <c r="A68" s="59" t="s">
        <v>125</v>
      </c>
      <c r="B68" s="66">
        <f>F3</f>
        <v>21756</v>
      </c>
    </row>
    <row r="69" ht="15.75" customHeight="1">
      <c r="B69" s="79">
        <f>B67+B68</f>
        <v>25756</v>
      </c>
    </row>
    <row r="70" ht="15.75" customHeight="1"/>
    <row r="71" ht="15.75" customHeight="1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</row>
    <row r="72" ht="15.75" customHeight="1">
      <c r="A72" s="64" t="s">
        <v>151</v>
      </c>
    </row>
    <row r="73" ht="15.75" customHeight="1">
      <c r="A73" s="59" t="s">
        <v>152</v>
      </c>
    </row>
    <row r="74" ht="15.75" customHeight="1">
      <c r="A74" s="8" t="s">
        <v>110</v>
      </c>
    </row>
    <row r="75" ht="15.75" customHeight="1">
      <c r="A75" s="8" t="s">
        <v>153</v>
      </c>
    </row>
    <row r="76" ht="15.75" customHeight="1">
      <c r="A76" s="8" t="s">
        <v>154</v>
      </c>
    </row>
    <row r="77" ht="15.75" customHeight="1">
      <c r="A77" s="8" t="s">
        <v>155</v>
      </c>
    </row>
    <row r="78" ht="15.75" customHeight="1">
      <c r="A78" s="8" t="s">
        <v>156</v>
      </c>
    </row>
    <row r="79" ht="15.75" customHeight="1">
      <c r="A79" s="59" t="s">
        <v>157</v>
      </c>
    </row>
    <row r="80" ht="15.75" customHeight="1">
      <c r="A80" s="59" t="s">
        <v>158</v>
      </c>
    </row>
    <row r="81" ht="15.75" customHeight="1">
      <c r="A81" s="59" t="s">
        <v>159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5">
    <mergeCell ref="A74:B74"/>
    <mergeCell ref="A75:B75"/>
    <mergeCell ref="A76:B76"/>
    <mergeCell ref="A77:B77"/>
    <mergeCell ref="A78:B78"/>
  </mergeCells>
  <printOptions/>
  <pageMargins bottom="1.0" footer="0.0" header="0.0" left="0.75" right="0.75" top="1.0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" width="10.57"/>
    <col customWidth="1" min="3" max="26" width="8.71"/>
  </cols>
  <sheetData>
    <row r="1">
      <c r="A1" s="85" t="s">
        <v>0</v>
      </c>
      <c r="B1" s="86"/>
      <c r="C1" s="4">
        <v>11505.0</v>
      </c>
      <c r="D1" s="87">
        <v>42217.0</v>
      </c>
      <c r="E1" s="4">
        <v>11536.0</v>
      </c>
      <c r="F1" s="4">
        <v>42248.0</v>
      </c>
      <c r="G1" s="4">
        <v>11202.0</v>
      </c>
      <c r="H1" s="4">
        <v>42278.0</v>
      </c>
      <c r="I1" s="4">
        <v>11597.0</v>
      </c>
      <c r="J1" s="4">
        <v>5784.0</v>
      </c>
      <c r="K1" s="4">
        <v>11628.0</v>
      </c>
      <c r="L1" s="4">
        <v>5814.0</v>
      </c>
      <c r="M1" s="4">
        <v>11658.0</v>
      </c>
      <c r="N1" s="88">
        <v>42019.0</v>
      </c>
      <c r="O1" s="89">
        <v>46053.0</v>
      </c>
      <c r="P1" s="90">
        <v>46068.0</v>
      </c>
      <c r="Q1" s="91" t="s">
        <v>160</v>
      </c>
      <c r="R1" s="92">
        <v>46096.0</v>
      </c>
      <c r="S1" s="93">
        <v>46112.0</v>
      </c>
      <c r="T1" s="94">
        <v>46127.0</v>
      </c>
      <c r="U1" s="94">
        <v>46142.0</v>
      </c>
      <c r="V1" s="94">
        <v>46157.0</v>
      </c>
      <c r="W1" s="94">
        <v>46173.0</v>
      </c>
      <c r="X1" s="94">
        <v>46188.0</v>
      </c>
      <c r="Y1" s="95"/>
      <c r="Z1" s="95"/>
    </row>
    <row r="2">
      <c r="A2" s="1" t="s">
        <v>4</v>
      </c>
      <c r="B2" s="2"/>
      <c r="C2" s="96">
        <v>20.0</v>
      </c>
      <c r="D2" s="97">
        <v>20.0</v>
      </c>
      <c r="E2" s="97">
        <v>20.0</v>
      </c>
      <c r="F2" s="97">
        <v>20.0</v>
      </c>
      <c r="G2" s="97">
        <v>20.0</v>
      </c>
      <c r="H2" s="97">
        <v>20.0</v>
      </c>
      <c r="I2" s="97">
        <v>20.0</v>
      </c>
      <c r="J2" s="97">
        <v>20.0</v>
      </c>
      <c r="K2" s="97">
        <v>20.0</v>
      </c>
      <c r="L2" s="97">
        <v>20.0</v>
      </c>
      <c r="M2" s="98"/>
      <c r="N2" s="98"/>
      <c r="O2" s="1"/>
      <c r="P2" s="99"/>
      <c r="Q2" s="99"/>
      <c r="R2" s="100"/>
      <c r="S2" s="101"/>
      <c r="T2" s="99"/>
      <c r="U2" s="99"/>
      <c r="V2" s="99"/>
      <c r="W2" s="99"/>
      <c r="X2" s="99"/>
    </row>
    <row r="3">
      <c r="A3" s="27" t="s">
        <v>6</v>
      </c>
      <c r="B3" s="102"/>
      <c r="C3" s="103">
        <v>20.0</v>
      </c>
      <c r="D3" s="29">
        <v>20.0</v>
      </c>
      <c r="E3" s="29">
        <v>20.0</v>
      </c>
      <c r="F3" s="29">
        <v>20.0</v>
      </c>
      <c r="G3" s="29">
        <v>20.0</v>
      </c>
      <c r="H3" s="29">
        <v>20.0</v>
      </c>
      <c r="I3" s="29">
        <v>20.0</v>
      </c>
      <c r="J3" s="29">
        <v>20.0</v>
      </c>
      <c r="K3" s="29">
        <v>20.0</v>
      </c>
      <c r="L3" s="26"/>
      <c r="M3" s="26"/>
      <c r="N3" s="26"/>
      <c r="O3" s="27"/>
      <c r="P3" s="100"/>
      <c r="Q3" s="100"/>
      <c r="R3" s="100"/>
      <c r="T3" s="100"/>
      <c r="U3" s="100"/>
      <c r="V3" s="100"/>
      <c r="W3" s="100"/>
      <c r="X3" s="100"/>
    </row>
    <row r="4">
      <c r="A4" s="27" t="s">
        <v>7</v>
      </c>
      <c r="B4" s="102"/>
      <c r="C4" s="103">
        <v>20.0</v>
      </c>
      <c r="D4" s="29">
        <v>20.0</v>
      </c>
      <c r="E4" s="29">
        <v>20.0</v>
      </c>
      <c r="F4" s="29">
        <v>20.0</v>
      </c>
      <c r="G4" s="29">
        <v>20.0</v>
      </c>
      <c r="H4" s="28">
        <v>20.0</v>
      </c>
      <c r="I4" s="29">
        <v>20.0</v>
      </c>
      <c r="J4" s="28">
        <v>20.0</v>
      </c>
      <c r="K4" s="29">
        <v>20.0</v>
      </c>
      <c r="L4" s="29">
        <v>20.0</v>
      </c>
      <c r="M4" s="29">
        <v>20.0</v>
      </c>
      <c r="N4" s="29">
        <v>20.0</v>
      </c>
      <c r="O4" s="37">
        <v>20.0</v>
      </c>
      <c r="P4" s="104">
        <v>20.0</v>
      </c>
      <c r="Q4" s="104">
        <v>20.0</v>
      </c>
      <c r="R4" s="100"/>
      <c r="S4" s="100"/>
      <c r="T4" s="100"/>
      <c r="U4" s="100"/>
      <c r="V4" s="100"/>
      <c r="W4" s="100"/>
      <c r="X4" s="100"/>
    </row>
    <row r="5">
      <c r="A5" s="27" t="s">
        <v>9</v>
      </c>
      <c r="B5" s="102"/>
      <c r="C5" s="103">
        <v>20.0</v>
      </c>
      <c r="D5" s="29">
        <v>20.0</v>
      </c>
      <c r="E5" s="29">
        <v>20.0</v>
      </c>
      <c r="F5" s="29">
        <v>20.0</v>
      </c>
      <c r="G5" s="29">
        <v>20.0</v>
      </c>
      <c r="H5" s="28">
        <v>20.0</v>
      </c>
      <c r="I5" s="29">
        <v>20.0</v>
      </c>
      <c r="J5" s="28">
        <v>20.0</v>
      </c>
      <c r="K5" s="29">
        <v>20.0</v>
      </c>
      <c r="L5" s="26"/>
      <c r="M5" s="26"/>
      <c r="N5" s="26"/>
      <c r="O5" s="27"/>
      <c r="P5" s="100"/>
      <c r="Q5" s="100"/>
      <c r="R5" s="100"/>
      <c r="S5" s="100"/>
      <c r="T5" s="100"/>
      <c r="U5" s="100"/>
      <c r="V5" s="100"/>
      <c r="W5" s="100"/>
      <c r="X5" s="100"/>
    </row>
    <row r="6">
      <c r="A6" s="27" t="s">
        <v>12</v>
      </c>
      <c r="B6" s="102"/>
      <c r="C6" s="103">
        <v>20.0</v>
      </c>
      <c r="D6" s="29">
        <v>20.0</v>
      </c>
      <c r="E6" s="29">
        <v>20.0</v>
      </c>
      <c r="F6" s="29">
        <v>20.0</v>
      </c>
      <c r="G6" s="29">
        <v>20.0</v>
      </c>
      <c r="H6" s="28">
        <v>20.0</v>
      </c>
      <c r="I6" s="29">
        <v>20.0</v>
      </c>
      <c r="J6" s="28">
        <v>20.0</v>
      </c>
      <c r="K6" s="29">
        <v>20.0</v>
      </c>
      <c r="L6" s="29">
        <v>20.0</v>
      </c>
      <c r="M6" s="29">
        <v>20.0</v>
      </c>
      <c r="N6" s="29">
        <v>20.0</v>
      </c>
      <c r="O6" s="37">
        <v>20.0</v>
      </c>
      <c r="P6" s="104">
        <v>20.0</v>
      </c>
      <c r="Q6" s="104">
        <v>20.0</v>
      </c>
      <c r="R6" s="104">
        <v>20.0</v>
      </c>
      <c r="S6" s="104">
        <v>20.0</v>
      </c>
      <c r="T6" s="100"/>
      <c r="U6" s="100"/>
      <c r="V6" s="100"/>
      <c r="W6" s="100"/>
      <c r="X6" s="100"/>
    </row>
    <row r="7">
      <c r="A7" s="27" t="s">
        <v>13</v>
      </c>
      <c r="B7" s="102"/>
      <c r="C7" s="103">
        <v>20.0</v>
      </c>
      <c r="D7" s="29">
        <v>20.0</v>
      </c>
      <c r="E7" s="29">
        <v>20.0</v>
      </c>
      <c r="F7" s="29">
        <v>20.0</v>
      </c>
      <c r="G7" s="29">
        <v>20.0</v>
      </c>
      <c r="H7" s="28">
        <v>20.0</v>
      </c>
      <c r="I7" s="29">
        <v>20.0</v>
      </c>
      <c r="J7" s="28">
        <v>20.0</v>
      </c>
      <c r="K7" s="29">
        <v>20.0</v>
      </c>
      <c r="L7" s="29">
        <v>20.0</v>
      </c>
      <c r="M7" s="29">
        <v>20.0</v>
      </c>
      <c r="N7" s="26"/>
      <c r="O7" s="105"/>
      <c r="P7" s="100"/>
      <c r="Q7" s="100"/>
      <c r="R7" s="100"/>
      <c r="S7" s="100"/>
      <c r="T7" s="100"/>
      <c r="U7" s="100"/>
      <c r="V7" s="100"/>
      <c r="W7" s="100"/>
      <c r="X7" s="100"/>
    </row>
    <row r="8">
      <c r="A8" s="27" t="s">
        <v>16</v>
      </c>
      <c r="B8" s="102"/>
      <c r="C8" s="103">
        <v>20.0</v>
      </c>
      <c r="D8" s="29">
        <v>20.0</v>
      </c>
      <c r="E8" s="29">
        <v>20.0</v>
      </c>
      <c r="F8" s="29">
        <v>20.0</v>
      </c>
      <c r="G8" s="29">
        <v>20.0</v>
      </c>
      <c r="H8" s="28">
        <v>20.0</v>
      </c>
      <c r="I8" s="29">
        <v>20.0</v>
      </c>
      <c r="J8" s="29">
        <v>20.0</v>
      </c>
      <c r="K8" s="29">
        <v>20.0</v>
      </c>
      <c r="L8" s="29">
        <v>20.0</v>
      </c>
      <c r="M8" s="29">
        <v>20.0</v>
      </c>
      <c r="N8" s="29">
        <v>20.0</v>
      </c>
      <c r="O8" s="37">
        <v>20.0</v>
      </c>
      <c r="P8" s="104">
        <v>20.0</v>
      </c>
      <c r="Q8" s="104">
        <v>20.0</v>
      </c>
      <c r="R8" s="104">
        <v>20.0</v>
      </c>
      <c r="S8" s="104">
        <v>20.0</v>
      </c>
      <c r="T8" s="100"/>
      <c r="U8" s="100"/>
      <c r="V8" s="100"/>
      <c r="W8" s="100"/>
      <c r="X8" s="100"/>
    </row>
    <row r="9">
      <c r="A9" s="27" t="s">
        <v>39</v>
      </c>
      <c r="B9" s="102"/>
      <c r="C9" s="103">
        <v>20.0</v>
      </c>
      <c r="D9" s="29">
        <v>20.0</v>
      </c>
      <c r="E9" s="29">
        <v>20.0</v>
      </c>
      <c r="F9" s="29">
        <v>20.0</v>
      </c>
      <c r="G9" s="29">
        <v>20.0</v>
      </c>
      <c r="H9" s="28">
        <v>20.0</v>
      </c>
      <c r="I9" s="29">
        <v>20.0</v>
      </c>
      <c r="J9" s="28">
        <v>20.0</v>
      </c>
      <c r="K9" s="29">
        <v>20.0</v>
      </c>
      <c r="L9" s="29">
        <v>20.0</v>
      </c>
      <c r="M9" s="29">
        <v>20.0</v>
      </c>
      <c r="N9" s="29">
        <v>20.0</v>
      </c>
      <c r="O9" s="37">
        <v>20.0</v>
      </c>
      <c r="P9" s="104">
        <v>20.0</v>
      </c>
      <c r="Q9" s="104">
        <v>20.0</v>
      </c>
      <c r="R9" s="104">
        <v>20.0</v>
      </c>
      <c r="S9" s="104">
        <v>20.0</v>
      </c>
      <c r="T9" s="104">
        <v>20.0</v>
      </c>
      <c r="U9" s="104">
        <v>20.0</v>
      </c>
      <c r="V9" s="104">
        <v>20.0</v>
      </c>
      <c r="W9" s="100"/>
      <c r="X9" s="100"/>
    </row>
    <row r="10" hidden="1">
      <c r="A10" s="27" t="s">
        <v>17</v>
      </c>
      <c r="B10" s="102"/>
      <c r="C10" s="103">
        <v>20.0</v>
      </c>
      <c r="D10" s="29">
        <v>20.0</v>
      </c>
      <c r="E10" s="29">
        <v>20.0</v>
      </c>
      <c r="F10" s="29">
        <v>20.0</v>
      </c>
      <c r="G10" s="29">
        <v>20.0</v>
      </c>
      <c r="H10" s="29">
        <v>20.0</v>
      </c>
      <c r="I10" s="29">
        <v>20.0</v>
      </c>
      <c r="J10" s="29">
        <v>20.0</v>
      </c>
      <c r="K10" s="29">
        <v>20.0</v>
      </c>
      <c r="L10" s="29">
        <v>20.0</v>
      </c>
      <c r="M10" s="29">
        <v>20.0</v>
      </c>
      <c r="N10" s="29">
        <v>20.0</v>
      </c>
      <c r="O10" s="50"/>
      <c r="P10" s="100"/>
      <c r="Q10" s="100"/>
      <c r="R10" s="100"/>
      <c r="S10" s="100"/>
      <c r="T10" s="100"/>
      <c r="U10" s="100"/>
      <c r="V10" s="100"/>
      <c r="W10" s="100"/>
      <c r="X10" s="100"/>
    </row>
    <row r="11" hidden="1">
      <c r="A11" s="27" t="s">
        <v>18</v>
      </c>
      <c r="B11" s="102"/>
      <c r="C11" s="103">
        <v>20.0</v>
      </c>
      <c r="D11" s="29">
        <v>20.0</v>
      </c>
      <c r="E11" s="29">
        <v>20.0</v>
      </c>
      <c r="F11" s="29">
        <v>20.0</v>
      </c>
      <c r="G11" s="29">
        <v>20.0</v>
      </c>
      <c r="H11" s="28">
        <v>20.0</v>
      </c>
      <c r="I11" s="29">
        <v>20.0</v>
      </c>
      <c r="J11" s="8"/>
      <c r="K11" s="26"/>
      <c r="L11" s="26"/>
      <c r="M11" s="26"/>
      <c r="N11" s="26"/>
      <c r="O11" s="27"/>
      <c r="P11" s="100"/>
      <c r="Q11" s="100"/>
      <c r="R11" s="100"/>
      <c r="S11" s="100"/>
      <c r="T11" s="100"/>
      <c r="U11" s="100"/>
      <c r="V11" s="100"/>
      <c r="W11" s="100"/>
      <c r="X11" s="100"/>
    </row>
    <row r="12">
      <c r="A12" s="27" t="s">
        <v>19</v>
      </c>
      <c r="B12" s="102"/>
      <c r="C12" s="103">
        <v>20.0</v>
      </c>
      <c r="D12" s="29">
        <v>20.0</v>
      </c>
      <c r="E12" s="29">
        <v>20.0</v>
      </c>
      <c r="F12" s="29">
        <v>20.0</v>
      </c>
      <c r="G12" s="29">
        <v>20.0</v>
      </c>
      <c r="H12" s="28">
        <v>20.0</v>
      </c>
      <c r="I12" s="29">
        <v>20.0</v>
      </c>
      <c r="J12" s="28">
        <v>20.0</v>
      </c>
      <c r="K12" s="29">
        <v>20.0</v>
      </c>
      <c r="L12" s="29">
        <v>20.0</v>
      </c>
      <c r="M12" s="29">
        <v>20.0</v>
      </c>
      <c r="N12" s="29">
        <v>20.0</v>
      </c>
      <c r="O12" s="37">
        <v>20.0</v>
      </c>
      <c r="P12" s="104">
        <v>20.0</v>
      </c>
      <c r="Q12" s="104">
        <v>20.0</v>
      </c>
      <c r="R12" s="104">
        <v>20.0</v>
      </c>
      <c r="S12" s="104"/>
      <c r="T12" s="100"/>
      <c r="U12" s="100"/>
      <c r="V12" s="100"/>
      <c r="W12" s="100"/>
      <c r="X12" s="100"/>
    </row>
    <row r="13">
      <c r="A13" s="27" t="s">
        <v>20</v>
      </c>
      <c r="B13" s="102"/>
      <c r="C13" s="103">
        <v>20.0</v>
      </c>
      <c r="D13" s="29">
        <v>20.0</v>
      </c>
      <c r="E13" s="29">
        <v>20.0</v>
      </c>
      <c r="F13" s="26"/>
      <c r="G13" s="26"/>
      <c r="H13" s="8"/>
      <c r="I13" s="26"/>
      <c r="J13" s="8"/>
      <c r="K13" s="26"/>
      <c r="L13" s="26"/>
      <c r="M13" s="26"/>
      <c r="N13" s="26"/>
      <c r="O13" s="27"/>
      <c r="P13" s="100"/>
      <c r="Q13" s="100"/>
      <c r="R13" s="100"/>
      <c r="S13" s="100"/>
      <c r="T13" s="100"/>
      <c r="U13" s="100"/>
      <c r="V13" s="100"/>
      <c r="W13" s="100"/>
      <c r="X13" s="100"/>
    </row>
    <row r="14">
      <c r="A14" s="27" t="s">
        <v>161</v>
      </c>
      <c r="B14" s="102"/>
      <c r="C14" s="106" t="s">
        <v>14</v>
      </c>
      <c r="D14" s="29">
        <v>20.0</v>
      </c>
      <c r="E14" s="29">
        <v>20.0</v>
      </c>
      <c r="F14" s="29">
        <v>20.0</v>
      </c>
      <c r="G14" s="29">
        <v>20.0</v>
      </c>
      <c r="H14" s="28">
        <v>20.0</v>
      </c>
      <c r="I14" s="29">
        <v>20.0</v>
      </c>
      <c r="J14" s="28">
        <v>20.0</v>
      </c>
      <c r="K14" s="29">
        <v>20.0</v>
      </c>
      <c r="L14" s="29">
        <v>20.0</v>
      </c>
      <c r="M14" s="26"/>
      <c r="N14" s="26"/>
      <c r="O14" s="27"/>
      <c r="P14" s="107"/>
      <c r="Q14" s="107"/>
      <c r="R14" s="100"/>
      <c r="S14" s="100"/>
      <c r="T14" s="100"/>
      <c r="U14" s="100"/>
      <c r="V14" s="100"/>
      <c r="W14" s="100"/>
      <c r="X14" s="100"/>
    </row>
    <row r="15">
      <c r="A15" s="27" t="s">
        <v>40</v>
      </c>
      <c r="B15" s="102"/>
      <c r="C15" s="103">
        <v>20.0</v>
      </c>
      <c r="D15" s="29">
        <v>20.0</v>
      </c>
      <c r="E15" s="29">
        <v>20.0</v>
      </c>
      <c r="F15" s="29">
        <v>20.0</v>
      </c>
      <c r="G15" s="29">
        <v>20.0</v>
      </c>
      <c r="H15" s="28">
        <v>20.0</v>
      </c>
      <c r="I15" s="29">
        <v>20.0</v>
      </c>
      <c r="J15" s="28">
        <v>20.0</v>
      </c>
      <c r="K15" s="29">
        <v>20.0</v>
      </c>
      <c r="L15" s="29">
        <v>20.0</v>
      </c>
      <c r="M15" s="29">
        <v>20.0</v>
      </c>
      <c r="N15" s="29">
        <v>20.0</v>
      </c>
      <c r="O15" s="37">
        <v>20.0</v>
      </c>
      <c r="P15" s="100"/>
      <c r="Q15" s="100"/>
      <c r="R15" s="100"/>
      <c r="S15" s="100"/>
      <c r="T15" s="100"/>
      <c r="U15" s="100"/>
      <c r="V15" s="100"/>
      <c r="W15" s="100"/>
      <c r="X15" s="100"/>
    </row>
    <row r="16" hidden="1">
      <c r="A16" s="108" t="s">
        <v>21</v>
      </c>
      <c r="B16" s="102"/>
      <c r="C16" s="103">
        <v>20.0</v>
      </c>
      <c r="D16" s="29">
        <v>20.0</v>
      </c>
      <c r="E16" s="26"/>
      <c r="F16" s="26"/>
      <c r="G16" s="26"/>
      <c r="H16" s="8"/>
      <c r="I16" s="26"/>
      <c r="J16" s="8"/>
      <c r="K16" s="26"/>
      <c r="L16" s="26"/>
      <c r="M16" s="26"/>
      <c r="N16" s="26"/>
      <c r="O16" s="27"/>
      <c r="P16" s="100"/>
      <c r="Q16" s="100"/>
      <c r="R16" s="100"/>
      <c r="S16" s="100"/>
      <c r="T16" s="100"/>
      <c r="U16" s="100"/>
      <c r="V16" s="100"/>
      <c r="W16" s="100"/>
      <c r="X16" s="100"/>
    </row>
    <row r="17">
      <c r="A17" s="37" t="s">
        <v>162</v>
      </c>
      <c r="B17" s="102"/>
      <c r="C17" s="103">
        <v>20.0</v>
      </c>
      <c r="D17" s="29">
        <v>20.0</v>
      </c>
      <c r="E17" s="29">
        <v>20.0</v>
      </c>
      <c r="F17" s="29">
        <v>20.0</v>
      </c>
      <c r="G17" s="29">
        <v>20.0</v>
      </c>
      <c r="H17" s="28">
        <v>20.0</v>
      </c>
      <c r="I17" s="29">
        <v>20.0</v>
      </c>
      <c r="J17" s="28">
        <v>20.0</v>
      </c>
      <c r="K17" s="29">
        <v>20.0</v>
      </c>
      <c r="L17" s="29">
        <v>20.0</v>
      </c>
      <c r="M17" s="29">
        <v>20.0</v>
      </c>
      <c r="N17" s="29">
        <v>20.0</v>
      </c>
      <c r="O17" s="37">
        <v>20.0</v>
      </c>
      <c r="P17" s="104">
        <v>20.0</v>
      </c>
      <c r="Q17" s="104">
        <v>20.0</v>
      </c>
      <c r="R17" s="100"/>
      <c r="S17" s="100"/>
      <c r="T17" s="100"/>
      <c r="U17" s="100"/>
      <c r="V17" s="100"/>
      <c r="W17" s="100"/>
      <c r="X17" s="100"/>
    </row>
    <row r="18">
      <c r="A18" s="27" t="s">
        <v>23</v>
      </c>
      <c r="B18" s="102"/>
      <c r="C18" s="103">
        <v>20.0</v>
      </c>
      <c r="D18" s="29">
        <v>20.0</v>
      </c>
      <c r="E18" s="29">
        <v>20.0</v>
      </c>
      <c r="F18" s="29">
        <v>20.0</v>
      </c>
      <c r="G18" s="29">
        <v>20.0</v>
      </c>
      <c r="H18" s="28">
        <v>20.0</v>
      </c>
      <c r="I18" s="29">
        <v>20.0</v>
      </c>
      <c r="J18" s="8"/>
      <c r="K18" s="26"/>
      <c r="L18" s="26"/>
      <c r="M18" s="26"/>
      <c r="N18" s="26"/>
      <c r="O18" s="27"/>
      <c r="P18" s="100"/>
      <c r="Q18" s="100"/>
      <c r="R18" s="100"/>
      <c r="S18" s="100"/>
      <c r="T18" s="100"/>
      <c r="U18" s="100"/>
      <c r="V18" s="100"/>
      <c r="W18" s="100"/>
      <c r="X18" s="100"/>
    </row>
    <row r="19">
      <c r="A19" s="27" t="s">
        <v>163</v>
      </c>
      <c r="B19" s="102"/>
      <c r="C19" s="103">
        <v>20.0</v>
      </c>
      <c r="D19" s="29">
        <v>20.0</v>
      </c>
      <c r="E19" s="29">
        <v>20.0</v>
      </c>
      <c r="F19" s="29">
        <v>20.0</v>
      </c>
      <c r="G19" s="29">
        <v>20.0</v>
      </c>
      <c r="H19" s="28">
        <v>20.0</v>
      </c>
      <c r="I19" s="29">
        <v>20.0</v>
      </c>
      <c r="J19" s="28">
        <v>20.0</v>
      </c>
      <c r="K19" s="29">
        <v>20.0</v>
      </c>
      <c r="L19" s="29">
        <v>20.0</v>
      </c>
      <c r="M19" s="29">
        <v>20.0</v>
      </c>
      <c r="N19" s="29">
        <v>20.0</v>
      </c>
      <c r="O19" s="37">
        <v>20.0</v>
      </c>
      <c r="P19" s="104">
        <v>20.0</v>
      </c>
      <c r="Q19" s="100"/>
      <c r="R19" s="100"/>
      <c r="S19" s="100"/>
      <c r="T19" s="100"/>
      <c r="U19" s="100"/>
      <c r="V19" s="100"/>
      <c r="W19" s="100"/>
      <c r="X19" s="100"/>
    </row>
    <row r="20">
      <c r="A20" s="27" t="s">
        <v>25</v>
      </c>
      <c r="B20" s="102"/>
      <c r="C20" s="103">
        <v>20.0</v>
      </c>
      <c r="D20" s="29">
        <v>20.0</v>
      </c>
      <c r="E20" s="29">
        <v>20.0</v>
      </c>
      <c r="F20" s="29">
        <v>20.0</v>
      </c>
      <c r="G20" s="29">
        <v>20.0</v>
      </c>
      <c r="H20" s="28">
        <v>20.0</v>
      </c>
      <c r="I20" s="29">
        <v>20.0</v>
      </c>
      <c r="J20" s="28">
        <v>20.0</v>
      </c>
      <c r="K20" s="29">
        <v>20.0</v>
      </c>
      <c r="L20" s="29">
        <v>20.0</v>
      </c>
      <c r="M20" s="29">
        <v>20.0</v>
      </c>
      <c r="N20" s="29">
        <v>20.0</v>
      </c>
      <c r="O20" s="37">
        <v>20.0</v>
      </c>
      <c r="P20" s="100"/>
      <c r="Q20" s="100"/>
      <c r="R20" s="100"/>
      <c r="S20" s="100"/>
      <c r="T20" s="100"/>
      <c r="U20" s="100"/>
      <c r="V20" s="100"/>
      <c r="W20" s="100"/>
      <c r="X20" s="100"/>
    </row>
    <row r="21" ht="15.75" customHeight="1">
      <c r="A21" s="27" t="s">
        <v>26</v>
      </c>
      <c r="B21" s="102"/>
      <c r="C21" s="103">
        <v>20.0</v>
      </c>
      <c r="D21" s="29">
        <v>20.0</v>
      </c>
      <c r="E21" s="29">
        <v>20.0</v>
      </c>
      <c r="F21" s="29">
        <v>20.0</v>
      </c>
      <c r="G21" s="29">
        <v>20.0</v>
      </c>
      <c r="H21" s="28">
        <v>20.0</v>
      </c>
      <c r="I21" s="29">
        <v>20.0</v>
      </c>
      <c r="J21" s="28">
        <v>20.0</v>
      </c>
      <c r="K21" s="29">
        <v>20.0</v>
      </c>
      <c r="L21" s="29">
        <v>20.0</v>
      </c>
      <c r="M21" s="29">
        <v>20.0</v>
      </c>
      <c r="N21" s="29">
        <v>20.0</v>
      </c>
      <c r="O21" s="37">
        <v>20.0</v>
      </c>
      <c r="P21" s="104">
        <v>20.0</v>
      </c>
      <c r="Q21" s="100"/>
      <c r="R21" s="100"/>
      <c r="S21" s="100"/>
      <c r="T21" s="100"/>
      <c r="U21" s="100"/>
      <c r="V21" s="100"/>
      <c r="W21" s="100"/>
      <c r="X21" s="100"/>
    </row>
    <row r="22" ht="15.75" customHeight="1">
      <c r="A22" s="27" t="s">
        <v>164</v>
      </c>
      <c r="B22" s="102"/>
      <c r="C22" s="103">
        <v>20.0</v>
      </c>
      <c r="D22" s="29">
        <v>20.0</v>
      </c>
      <c r="E22" s="29">
        <v>20.0</v>
      </c>
      <c r="F22" s="29">
        <v>20.0</v>
      </c>
      <c r="G22" s="29">
        <v>20.0</v>
      </c>
      <c r="H22" s="28">
        <v>20.0</v>
      </c>
      <c r="I22" s="29">
        <v>20.0</v>
      </c>
      <c r="J22" s="28">
        <v>20.0</v>
      </c>
      <c r="K22" s="29">
        <v>20.0</v>
      </c>
      <c r="L22" s="29">
        <v>20.0</v>
      </c>
      <c r="M22" s="29">
        <v>20.0</v>
      </c>
      <c r="N22" s="29">
        <v>20.0</v>
      </c>
      <c r="O22" s="37">
        <v>20.0</v>
      </c>
      <c r="P22" s="104">
        <v>20.0</v>
      </c>
      <c r="Q22" s="104">
        <v>20.0</v>
      </c>
      <c r="R22" s="100"/>
      <c r="S22" s="100"/>
      <c r="T22" s="100"/>
      <c r="U22" s="100"/>
      <c r="V22" s="100"/>
      <c r="W22" s="100"/>
      <c r="X22" s="100"/>
    </row>
    <row r="23" ht="15.75" customHeight="1">
      <c r="A23" s="37" t="s">
        <v>165</v>
      </c>
      <c r="B23" s="102"/>
      <c r="C23" s="106" t="s">
        <v>14</v>
      </c>
      <c r="D23" s="109" t="s">
        <v>14</v>
      </c>
      <c r="E23" s="29">
        <v>20.0</v>
      </c>
      <c r="F23" s="29">
        <v>20.0</v>
      </c>
      <c r="G23" s="29">
        <v>20.0</v>
      </c>
      <c r="H23" s="28">
        <v>20.0</v>
      </c>
      <c r="I23" s="29">
        <v>20.0</v>
      </c>
      <c r="J23" s="8"/>
      <c r="K23" s="26"/>
      <c r="L23" s="26"/>
      <c r="M23" s="26"/>
      <c r="N23" s="110"/>
      <c r="O23" s="105"/>
      <c r="P23" s="100"/>
      <c r="Q23" s="100"/>
      <c r="R23" s="100"/>
      <c r="S23" s="100"/>
      <c r="T23" s="100"/>
      <c r="U23" s="100"/>
      <c r="V23" s="100"/>
      <c r="W23" s="100"/>
      <c r="X23" s="100"/>
    </row>
    <row r="24" ht="15.75" hidden="1" customHeight="1">
      <c r="A24" s="27" t="s">
        <v>29</v>
      </c>
      <c r="B24" s="102"/>
      <c r="C24" s="103">
        <v>20.0</v>
      </c>
      <c r="D24" s="29">
        <v>20.0</v>
      </c>
      <c r="E24" s="29">
        <v>20.0</v>
      </c>
      <c r="F24" s="29">
        <v>20.0</v>
      </c>
      <c r="G24" s="26"/>
      <c r="H24" s="8"/>
      <c r="I24" s="26"/>
      <c r="J24" s="111"/>
      <c r="K24" s="112"/>
      <c r="L24" s="112"/>
      <c r="M24" s="112"/>
      <c r="N24" s="26"/>
      <c r="O24" s="27"/>
      <c r="P24" s="100"/>
      <c r="Q24" s="100"/>
      <c r="R24" s="100"/>
      <c r="S24" s="100"/>
      <c r="T24" s="100"/>
      <c r="U24" s="100"/>
      <c r="V24" s="100"/>
      <c r="W24" s="100"/>
      <c r="X24" s="100"/>
    </row>
    <row r="25" ht="15.75" hidden="1" customHeight="1">
      <c r="A25" s="27" t="s">
        <v>33</v>
      </c>
      <c r="B25" s="102"/>
      <c r="C25" s="103">
        <v>20.0</v>
      </c>
      <c r="D25" s="29">
        <v>20.0</v>
      </c>
      <c r="E25" s="29">
        <v>20.0</v>
      </c>
      <c r="F25" s="29">
        <v>20.0</v>
      </c>
      <c r="G25" s="29">
        <v>20.0</v>
      </c>
      <c r="H25" s="28">
        <v>20.0</v>
      </c>
      <c r="I25" s="29">
        <v>20.0</v>
      </c>
      <c r="J25" s="8"/>
      <c r="K25" s="26"/>
      <c r="L25" s="26"/>
      <c r="M25" s="26"/>
      <c r="N25" s="26"/>
      <c r="O25" s="113"/>
      <c r="P25" s="100"/>
      <c r="Q25" s="100"/>
      <c r="R25" s="100"/>
      <c r="S25" s="100"/>
      <c r="T25" s="100"/>
      <c r="U25" s="100"/>
      <c r="V25" s="100"/>
      <c r="W25" s="100"/>
      <c r="X25" s="100"/>
    </row>
    <row r="26" ht="15.75" customHeight="1">
      <c r="A26" s="27" t="s">
        <v>34</v>
      </c>
      <c r="B26" s="102"/>
      <c r="C26" s="103">
        <v>20.0</v>
      </c>
      <c r="D26" s="29">
        <v>20.0</v>
      </c>
      <c r="E26" s="29">
        <v>20.0</v>
      </c>
      <c r="F26" s="29">
        <v>20.0</v>
      </c>
      <c r="G26" s="29">
        <v>20.0</v>
      </c>
      <c r="H26" s="28">
        <v>20.0</v>
      </c>
      <c r="I26" s="29">
        <v>20.0</v>
      </c>
      <c r="J26" s="28">
        <v>20.0</v>
      </c>
      <c r="K26" s="29">
        <v>20.0</v>
      </c>
      <c r="L26" s="29">
        <v>20.0</v>
      </c>
      <c r="M26" s="29">
        <v>20.0</v>
      </c>
      <c r="N26" s="29">
        <v>20.0</v>
      </c>
      <c r="O26" s="37">
        <v>20.0</v>
      </c>
      <c r="P26" s="104">
        <v>20.0</v>
      </c>
      <c r="Q26" s="100"/>
      <c r="R26" s="100"/>
      <c r="S26" s="100"/>
      <c r="T26" s="100"/>
      <c r="U26" s="100"/>
      <c r="V26" s="100"/>
      <c r="W26" s="100"/>
      <c r="X26" s="100"/>
    </row>
    <row r="27" ht="15.75" hidden="1" customHeight="1">
      <c r="A27" s="27" t="s">
        <v>166</v>
      </c>
      <c r="B27" s="102"/>
      <c r="C27" s="103">
        <v>20.0</v>
      </c>
      <c r="D27" s="29">
        <v>20.0</v>
      </c>
      <c r="E27" s="29">
        <v>20.0</v>
      </c>
      <c r="F27" s="26"/>
      <c r="G27" s="26"/>
      <c r="H27" s="8"/>
      <c r="I27" s="26"/>
      <c r="J27" s="8"/>
      <c r="K27" s="26"/>
      <c r="L27" s="26"/>
      <c r="M27" s="26"/>
      <c r="N27" s="26"/>
      <c r="O27" s="50"/>
      <c r="P27" s="114"/>
      <c r="Q27" s="114"/>
      <c r="R27" s="100"/>
      <c r="S27" s="100"/>
      <c r="T27" s="100"/>
      <c r="U27" s="100"/>
      <c r="V27" s="100"/>
      <c r="W27" s="100"/>
      <c r="X27" s="100"/>
    </row>
    <row r="28" ht="15.75" customHeight="1">
      <c r="A28" s="27" t="s">
        <v>35</v>
      </c>
      <c r="B28" s="102"/>
      <c r="C28" s="103">
        <v>20.0</v>
      </c>
      <c r="D28" s="29">
        <v>20.0</v>
      </c>
      <c r="E28" s="29">
        <v>20.0</v>
      </c>
      <c r="F28" s="29">
        <v>20.0</v>
      </c>
      <c r="G28" s="29">
        <v>20.0</v>
      </c>
      <c r="H28" s="28">
        <v>20.0</v>
      </c>
      <c r="I28" s="29">
        <v>20.0</v>
      </c>
      <c r="J28" s="28">
        <v>20.0</v>
      </c>
      <c r="K28" s="29">
        <v>20.0</v>
      </c>
      <c r="L28" s="29">
        <v>20.0</v>
      </c>
      <c r="M28" s="29">
        <v>20.0</v>
      </c>
      <c r="N28" s="29">
        <v>20.0</v>
      </c>
      <c r="O28" s="37">
        <v>20.0</v>
      </c>
      <c r="P28" s="104">
        <v>20.0</v>
      </c>
      <c r="Q28" s="104">
        <v>20.0</v>
      </c>
      <c r="R28" s="104">
        <v>20.0</v>
      </c>
      <c r="S28" s="104">
        <v>20.0</v>
      </c>
      <c r="T28" s="104">
        <v>20.0</v>
      </c>
      <c r="U28" s="104"/>
      <c r="V28" s="104"/>
      <c r="W28" s="104"/>
      <c r="X28" s="104"/>
    </row>
    <row r="29" ht="15.75" hidden="1" customHeight="1">
      <c r="A29" s="27" t="s">
        <v>36</v>
      </c>
      <c r="B29" s="102"/>
      <c r="C29" s="103">
        <v>20.0</v>
      </c>
      <c r="D29" s="29">
        <v>20.0</v>
      </c>
      <c r="E29" s="29">
        <v>20.0</v>
      </c>
      <c r="F29" s="29">
        <v>20.0</v>
      </c>
      <c r="G29" s="29">
        <v>20.0</v>
      </c>
      <c r="H29" s="28">
        <v>20.0</v>
      </c>
      <c r="I29" s="29">
        <v>20.0</v>
      </c>
      <c r="J29" s="28">
        <v>20.0</v>
      </c>
      <c r="K29" s="29">
        <v>20.0</v>
      </c>
      <c r="L29" s="29">
        <v>20.0</v>
      </c>
      <c r="M29" s="26"/>
      <c r="N29" s="26"/>
      <c r="O29" s="50"/>
      <c r="P29" s="114"/>
      <c r="Q29" s="114"/>
      <c r="R29" s="100"/>
      <c r="S29" s="100"/>
      <c r="T29" s="100"/>
      <c r="U29" s="100"/>
      <c r="V29" s="100"/>
      <c r="W29" s="100"/>
      <c r="X29" s="100"/>
    </row>
    <row r="30" ht="15.75" customHeight="1">
      <c r="A30" s="27" t="s">
        <v>37</v>
      </c>
      <c r="B30" s="102"/>
      <c r="C30" s="103">
        <v>20.0</v>
      </c>
      <c r="D30" s="29">
        <v>20.0</v>
      </c>
      <c r="E30" s="29">
        <v>20.0</v>
      </c>
      <c r="F30" s="29">
        <v>20.0</v>
      </c>
      <c r="G30" s="29">
        <v>20.0</v>
      </c>
      <c r="H30" s="29">
        <v>20.0</v>
      </c>
      <c r="I30" s="29">
        <v>20.0</v>
      </c>
      <c r="J30" s="29">
        <v>20.0</v>
      </c>
      <c r="K30" s="29">
        <v>20.0</v>
      </c>
      <c r="L30" s="29">
        <v>20.0</v>
      </c>
      <c r="M30" s="29">
        <v>20.0</v>
      </c>
      <c r="N30" s="29">
        <v>20.0</v>
      </c>
      <c r="O30" s="27"/>
      <c r="P30" s="100"/>
      <c r="Q30" s="100"/>
      <c r="R30" s="100"/>
      <c r="S30" s="100"/>
      <c r="T30" s="100"/>
      <c r="U30" s="100"/>
      <c r="V30" s="100"/>
      <c r="W30" s="100"/>
      <c r="X30" s="100"/>
    </row>
    <row r="31" ht="15.75" hidden="1" customHeight="1">
      <c r="A31" s="108" t="s">
        <v>38</v>
      </c>
      <c r="B31" s="102"/>
      <c r="C31" s="103">
        <v>20.0</v>
      </c>
      <c r="D31" s="29">
        <v>20.0</v>
      </c>
      <c r="E31" s="26"/>
      <c r="F31" s="26"/>
      <c r="G31" s="26"/>
      <c r="H31" s="8"/>
      <c r="I31" s="26"/>
      <c r="J31" s="8"/>
      <c r="K31" s="26"/>
      <c r="L31" s="26"/>
      <c r="M31" s="26"/>
      <c r="N31" s="26"/>
      <c r="O31" s="27"/>
      <c r="P31" s="100"/>
      <c r="Q31" s="100"/>
      <c r="R31" s="100"/>
      <c r="S31" s="100"/>
      <c r="T31" s="100"/>
      <c r="U31" s="100"/>
      <c r="V31" s="100"/>
      <c r="W31" s="100"/>
      <c r="X31" s="100"/>
    </row>
    <row r="32" ht="15.75" hidden="1" customHeight="1">
      <c r="A32" s="37" t="s">
        <v>167</v>
      </c>
      <c r="B32" s="102"/>
      <c r="C32" s="106" t="s">
        <v>14</v>
      </c>
      <c r="D32" s="109" t="s">
        <v>14</v>
      </c>
      <c r="E32" s="29">
        <v>20.0</v>
      </c>
      <c r="F32" s="29">
        <v>20.0</v>
      </c>
      <c r="G32" s="29">
        <v>20.0</v>
      </c>
      <c r="H32" s="28">
        <v>20.0</v>
      </c>
      <c r="I32" s="29">
        <v>20.0</v>
      </c>
      <c r="J32" s="29">
        <v>20.0</v>
      </c>
      <c r="K32" s="29">
        <v>20.0</v>
      </c>
      <c r="L32" s="29">
        <v>20.0</v>
      </c>
      <c r="M32" s="29">
        <v>20.0</v>
      </c>
      <c r="N32" s="29">
        <v>20.0</v>
      </c>
      <c r="O32" s="37">
        <v>20.0</v>
      </c>
      <c r="P32" s="115"/>
      <c r="Q32" s="115"/>
      <c r="R32" s="100"/>
      <c r="S32" s="100"/>
      <c r="T32" s="100"/>
      <c r="U32" s="100"/>
      <c r="V32" s="100"/>
      <c r="W32" s="100"/>
      <c r="X32" s="100"/>
    </row>
    <row r="33" ht="15.75" customHeight="1">
      <c r="A33" s="37" t="s">
        <v>168</v>
      </c>
      <c r="B33" s="102"/>
      <c r="C33" s="103">
        <v>20.0</v>
      </c>
      <c r="D33" s="29">
        <v>20.0</v>
      </c>
      <c r="E33" s="29">
        <v>20.0</v>
      </c>
      <c r="F33" s="29">
        <v>20.0</v>
      </c>
      <c r="G33" s="29">
        <v>20.0</v>
      </c>
      <c r="H33" s="28">
        <v>20.0</v>
      </c>
      <c r="I33" s="29">
        <v>20.0</v>
      </c>
      <c r="J33" s="28">
        <v>20.0</v>
      </c>
      <c r="K33" s="29">
        <v>20.0</v>
      </c>
      <c r="L33" s="29">
        <v>20.0</v>
      </c>
      <c r="M33" s="26"/>
      <c r="N33" s="26"/>
      <c r="O33" s="27"/>
      <c r="P33" s="100"/>
      <c r="Q33" s="100"/>
      <c r="R33" s="100"/>
      <c r="S33" s="100"/>
      <c r="T33" s="100"/>
      <c r="U33" s="100"/>
      <c r="V33" s="100"/>
      <c r="W33" s="100"/>
      <c r="X33" s="100"/>
    </row>
    <row r="34" ht="15.75" customHeight="1">
      <c r="A34" s="37" t="s">
        <v>169</v>
      </c>
      <c r="B34" s="102"/>
      <c r="C34" s="106" t="s">
        <v>14</v>
      </c>
      <c r="D34" s="29">
        <v>20.0</v>
      </c>
      <c r="E34" s="29">
        <v>20.0</v>
      </c>
      <c r="F34" s="29">
        <v>20.0</v>
      </c>
      <c r="G34" s="29">
        <v>20.0</v>
      </c>
      <c r="H34" s="8"/>
      <c r="I34" s="26"/>
      <c r="J34" s="8"/>
      <c r="K34" s="26"/>
      <c r="L34" s="26"/>
      <c r="M34" s="26"/>
      <c r="N34" s="26"/>
      <c r="O34" s="27"/>
      <c r="P34" s="100"/>
      <c r="Q34" s="100"/>
      <c r="R34" s="100"/>
      <c r="S34" s="100"/>
      <c r="T34" s="100"/>
      <c r="U34" s="100"/>
      <c r="V34" s="100"/>
      <c r="W34" s="100"/>
      <c r="X34" s="100"/>
    </row>
    <row r="35" ht="15.75" customHeight="1">
      <c r="A35" s="37" t="s">
        <v>170</v>
      </c>
      <c r="B35" s="102"/>
      <c r="C35" s="106" t="s">
        <v>14</v>
      </c>
      <c r="D35" s="109" t="s">
        <v>14</v>
      </c>
      <c r="E35" s="109" t="s">
        <v>14</v>
      </c>
      <c r="F35" s="29">
        <v>20.0</v>
      </c>
      <c r="G35" s="29">
        <v>20.0</v>
      </c>
      <c r="H35" s="28">
        <v>20.0</v>
      </c>
      <c r="I35" s="29">
        <v>20.0</v>
      </c>
      <c r="J35" s="28">
        <v>20.0</v>
      </c>
      <c r="K35" s="29">
        <v>20.0</v>
      </c>
      <c r="L35" s="26"/>
      <c r="M35" s="26"/>
      <c r="N35" s="26"/>
      <c r="O35" s="27"/>
      <c r="P35" s="100"/>
      <c r="Q35" s="100"/>
      <c r="R35" s="100"/>
      <c r="S35" s="100"/>
      <c r="T35" s="100"/>
      <c r="U35" s="100"/>
      <c r="V35" s="100"/>
      <c r="W35" s="100"/>
      <c r="X35" s="100"/>
    </row>
    <row r="36" ht="15.75" hidden="1" customHeight="1">
      <c r="A36" s="37" t="s">
        <v>171</v>
      </c>
      <c r="B36" s="102"/>
      <c r="C36" s="106" t="s">
        <v>14</v>
      </c>
      <c r="D36" s="109" t="s">
        <v>14</v>
      </c>
      <c r="E36" s="109" t="s">
        <v>14</v>
      </c>
      <c r="F36" s="29">
        <v>20.0</v>
      </c>
      <c r="G36" s="29">
        <v>20.0</v>
      </c>
      <c r="H36" s="28">
        <v>20.0</v>
      </c>
      <c r="I36" s="26"/>
      <c r="J36" s="26"/>
      <c r="K36" s="26"/>
      <c r="L36" s="26"/>
      <c r="M36" s="49"/>
      <c r="N36" s="26"/>
      <c r="O36" s="27"/>
      <c r="P36" s="100"/>
      <c r="Q36" s="100"/>
      <c r="R36" s="100"/>
      <c r="S36" s="100"/>
      <c r="T36" s="100"/>
      <c r="U36" s="100"/>
      <c r="V36" s="100"/>
      <c r="W36" s="100"/>
      <c r="X36" s="100"/>
    </row>
    <row r="37" ht="15.75" customHeight="1">
      <c r="A37" s="37" t="s">
        <v>172</v>
      </c>
      <c r="B37" s="102"/>
      <c r="C37" s="106" t="s">
        <v>14</v>
      </c>
      <c r="D37" s="106"/>
      <c r="E37" s="106"/>
      <c r="F37" s="106"/>
      <c r="G37" s="106"/>
      <c r="H37" s="116"/>
      <c r="I37" s="116"/>
      <c r="J37" s="29">
        <v>20.0</v>
      </c>
      <c r="K37" s="29">
        <v>20.0</v>
      </c>
      <c r="L37" s="29">
        <v>20.0</v>
      </c>
      <c r="M37" s="29">
        <v>20.0</v>
      </c>
      <c r="N37" s="29">
        <v>20.0</v>
      </c>
      <c r="O37" s="37">
        <v>20.0</v>
      </c>
      <c r="P37" s="104">
        <v>20.0</v>
      </c>
      <c r="Q37" s="104">
        <v>20.0</v>
      </c>
      <c r="R37" s="104">
        <v>20.0</v>
      </c>
      <c r="S37" s="104">
        <v>20.0</v>
      </c>
      <c r="T37" s="100"/>
      <c r="U37" s="100"/>
      <c r="V37" s="100"/>
      <c r="W37" s="100"/>
      <c r="X37" s="100"/>
    </row>
    <row r="38" ht="15.75" customHeight="1">
      <c r="A38" s="37" t="s">
        <v>173</v>
      </c>
      <c r="B38" s="102"/>
      <c r="C38" s="106" t="s">
        <v>14</v>
      </c>
      <c r="D38" s="106" t="s">
        <v>14</v>
      </c>
      <c r="E38" s="106" t="s">
        <v>14</v>
      </c>
      <c r="F38" s="106" t="s">
        <v>14</v>
      </c>
      <c r="G38" s="106" t="s">
        <v>14</v>
      </c>
      <c r="H38" s="106" t="s">
        <v>14</v>
      </c>
      <c r="I38" s="29">
        <v>20.0</v>
      </c>
      <c r="J38" s="29">
        <v>20.0</v>
      </c>
      <c r="K38" s="29">
        <v>20.0</v>
      </c>
      <c r="L38" s="29">
        <v>20.0</v>
      </c>
      <c r="M38" s="29">
        <v>20.0</v>
      </c>
      <c r="N38" s="29">
        <v>10.0</v>
      </c>
      <c r="O38" s="27"/>
      <c r="P38" s="100"/>
      <c r="Q38" s="100"/>
      <c r="R38" s="100"/>
      <c r="S38" s="100"/>
      <c r="T38" s="100"/>
      <c r="U38" s="100"/>
      <c r="V38" s="100"/>
      <c r="W38" s="100"/>
      <c r="X38" s="100"/>
    </row>
    <row r="39">
      <c r="A39" s="37" t="s">
        <v>174</v>
      </c>
      <c r="B39" s="102"/>
      <c r="C39" s="106" t="s">
        <v>14</v>
      </c>
      <c r="D39" s="106" t="s">
        <v>14</v>
      </c>
      <c r="E39" s="106" t="s">
        <v>14</v>
      </c>
      <c r="F39" s="103">
        <v>20.0</v>
      </c>
      <c r="G39" s="103">
        <v>20.0</v>
      </c>
      <c r="H39" s="103">
        <v>20.0</v>
      </c>
      <c r="I39" s="29">
        <v>20.0</v>
      </c>
      <c r="J39" s="29">
        <v>20.0</v>
      </c>
      <c r="K39" s="29">
        <v>20.0</v>
      </c>
      <c r="L39" s="29">
        <v>20.0</v>
      </c>
      <c r="M39" s="29">
        <v>20.0</v>
      </c>
      <c r="N39" s="29">
        <v>10.0</v>
      </c>
      <c r="O39" s="27"/>
      <c r="P39" s="100"/>
      <c r="Q39" s="100"/>
      <c r="R39" s="100"/>
      <c r="S39" s="100"/>
      <c r="T39" s="100"/>
      <c r="U39" s="100"/>
      <c r="V39" s="100"/>
      <c r="W39" s="100"/>
      <c r="X39" s="100"/>
    </row>
    <row r="40">
      <c r="A40" s="28" t="s">
        <v>175</v>
      </c>
      <c r="B40" s="103" t="s">
        <v>176</v>
      </c>
      <c r="C40" s="106" t="s">
        <v>14</v>
      </c>
      <c r="D40" s="106"/>
      <c r="E40" s="106"/>
      <c r="F40" s="106"/>
      <c r="G40" s="106"/>
      <c r="H40" s="106"/>
      <c r="I40" s="106"/>
      <c r="J40" s="106"/>
      <c r="K40" s="106"/>
      <c r="L40" s="106"/>
      <c r="M40" s="106"/>
      <c r="N40" s="106" t="s">
        <v>14</v>
      </c>
      <c r="O40" s="27"/>
      <c r="P40" s="100"/>
      <c r="Q40" s="100"/>
      <c r="R40" s="100"/>
      <c r="S40" s="100"/>
      <c r="T40" s="100"/>
      <c r="U40" s="100"/>
      <c r="V40" s="100"/>
      <c r="W40" s="100"/>
      <c r="X40" s="100"/>
    </row>
    <row r="41">
      <c r="A41" s="28" t="s">
        <v>177</v>
      </c>
      <c r="B41" s="103" t="s">
        <v>178</v>
      </c>
      <c r="C41" s="106" t="s">
        <v>14</v>
      </c>
      <c r="D41" s="106"/>
      <c r="E41" s="106"/>
      <c r="F41" s="106"/>
      <c r="G41" s="106"/>
      <c r="H41" s="106"/>
      <c r="I41" s="106"/>
      <c r="J41" s="106"/>
      <c r="K41" s="106"/>
      <c r="L41" s="106"/>
      <c r="M41" s="106"/>
      <c r="N41" s="106" t="s">
        <v>14</v>
      </c>
      <c r="O41" s="37">
        <v>20.0</v>
      </c>
      <c r="P41" s="104">
        <v>20.0</v>
      </c>
      <c r="Q41" s="104">
        <v>20.0</v>
      </c>
      <c r="R41" s="104">
        <v>20.0</v>
      </c>
      <c r="S41" s="104">
        <v>20.0</v>
      </c>
      <c r="T41" s="104">
        <v>20.0</v>
      </c>
      <c r="U41" s="104">
        <v>20.0</v>
      </c>
      <c r="V41" s="104"/>
      <c r="W41" s="104"/>
      <c r="X41" s="104"/>
    </row>
    <row r="42">
      <c r="A42" s="117" t="s">
        <v>179</v>
      </c>
      <c r="B42" s="102"/>
      <c r="C42" s="106" t="s">
        <v>14</v>
      </c>
      <c r="D42" s="106" t="s">
        <v>14</v>
      </c>
      <c r="E42" s="106" t="s">
        <v>14</v>
      </c>
      <c r="F42" s="106" t="s">
        <v>14</v>
      </c>
      <c r="G42" s="106" t="s">
        <v>14</v>
      </c>
      <c r="H42" s="106" t="s">
        <v>14</v>
      </c>
      <c r="I42" s="106" t="s">
        <v>14</v>
      </c>
      <c r="J42" s="106" t="s">
        <v>14</v>
      </c>
      <c r="K42" s="106" t="s">
        <v>14</v>
      </c>
      <c r="L42" s="106" t="s">
        <v>14</v>
      </c>
      <c r="M42" s="106" t="s">
        <v>14</v>
      </c>
      <c r="N42" s="106" t="s">
        <v>14</v>
      </c>
      <c r="O42" s="106" t="s">
        <v>14</v>
      </c>
      <c r="P42" s="106" t="s">
        <v>14</v>
      </c>
      <c r="Q42" s="104">
        <v>20.0</v>
      </c>
      <c r="R42" s="104">
        <v>20.0</v>
      </c>
      <c r="S42" s="104">
        <v>20.0</v>
      </c>
      <c r="T42" s="100"/>
      <c r="U42" s="100"/>
      <c r="V42" s="100"/>
      <c r="W42" s="100"/>
      <c r="X42" s="100"/>
    </row>
    <row r="43">
      <c r="A43" s="117" t="s">
        <v>180</v>
      </c>
      <c r="B43" s="117" t="s">
        <v>181</v>
      </c>
      <c r="C43" s="106" t="s">
        <v>14</v>
      </c>
      <c r="D43" s="106" t="s">
        <v>14</v>
      </c>
      <c r="E43" s="106" t="s">
        <v>14</v>
      </c>
      <c r="F43" s="106" t="s">
        <v>14</v>
      </c>
      <c r="G43" s="106" t="s">
        <v>14</v>
      </c>
      <c r="H43" s="106" t="s">
        <v>14</v>
      </c>
      <c r="I43" s="106" t="s">
        <v>14</v>
      </c>
      <c r="J43" s="106" t="s">
        <v>14</v>
      </c>
      <c r="K43" s="106" t="s">
        <v>14</v>
      </c>
      <c r="L43" s="106" t="s">
        <v>14</v>
      </c>
      <c r="M43" s="106" t="s">
        <v>14</v>
      </c>
      <c r="N43" s="106" t="s">
        <v>14</v>
      </c>
      <c r="O43" s="106" t="s">
        <v>14</v>
      </c>
      <c r="P43" s="106" t="s">
        <v>14</v>
      </c>
      <c r="Q43" s="104">
        <v>20.0</v>
      </c>
      <c r="R43" s="104">
        <v>20.0</v>
      </c>
      <c r="S43" s="104">
        <v>20.0</v>
      </c>
      <c r="T43" s="104">
        <v>20.0</v>
      </c>
      <c r="U43" s="104">
        <v>20.0</v>
      </c>
      <c r="V43" s="104"/>
      <c r="W43" s="104"/>
      <c r="X43" s="104"/>
    </row>
    <row r="44">
      <c r="A44" s="117" t="s">
        <v>182</v>
      </c>
      <c r="B44" s="117" t="s">
        <v>183</v>
      </c>
      <c r="C44" s="106" t="s">
        <v>14</v>
      </c>
      <c r="D44" s="106" t="s">
        <v>14</v>
      </c>
      <c r="E44" s="106" t="s">
        <v>14</v>
      </c>
      <c r="F44" s="106" t="s">
        <v>14</v>
      </c>
      <c r="G44" s="106" t="s">
        <v>14</v>
      </c>
      <c r="H44" s="106" t="s">
        <v>14</v>
      </c>
      <c r="I44" s="106" t="s">
        <v>14</v>
      </c>
      <c r="J44" s="106" t="s">
        <v>14</v>
      </c>
      <c r="K44" s="106" t="s">
        <v>14</v>
      </c>
      <c r="L44" s="106" t="s">
        <v>14</v>
      </c>
      <c r="M44" s="106" t="s">
        <v>14</v>
      </c>
      <c r="N44" s="106" t="s">
        <v>14</v>
      </c>
      <c r="O44" s="106" t="s">
        <v>14</v>
      </c>
      <c r="P44" s="106" t="s">
        <v>14</v>
      </c>
      <c r="Q44" s="104">
        <v>20.0</v>
      </c>
      <c r="R44" s="100"/>
      <c r="S44" s="100"/>
      <c r="T44" s="100"/>
      <c r="U44" s="100"/>
      <c r="V44" s="100"/>
      <c r="W44" s="100"/>
      <c r="X44" s="100"/>
    </row>
    <row r="45">
      <c r="A45" s="117" t="s">
        <v>184</v>
      </c>
      <c r="B45" s="117" t="s">
        <v>185</v>
      </c>
      <c r="C45" s="106" t="s">
        <v>14</v>
      </c>
      <c r="D45" s="106" t="s">
        <v>14</v>
      </c>
      <c r="E45" s="106" t="s">
        <v>14</v>
      </c>
      <c r="F45" s="106" t="s">
        <v>14</v>
      </c>
      <c r="G45" s="106" t="s">
        <v>14</v>
      </c>
      <c r="H45" s="106" t="s">
        <v>14</v>
      </c>
      <c r="I45" s="106" t="s">
        <v>14</v>
      </c>
      <c r="J45" s="106" t="s">
        <v>14</v>
      </c>
      <c r="K45" s="106" t="s">
        <v>14</v>
      </c>
      <c r="L45" s="106" t="s">
        <v>14</v>
      </c>
      <c r="M45" s="106" t="s">
        <v>14</v>
      </c>
      <c r="N45" s="106" t="s">
        <v>14</v>
      </c>
      <c r="O45" s="106" t="s">
        <v>14</v>
      </c>
      <c r="P45" s="118">
        <v>20.0</v>
      </c>
      <c r="Q45" s="104">
        <v>20.0</v>
      </c>
      <c r="R45" s="104">
        <v>20.0</v>
      </c>
      <c r="S45" s="104">
        <v>20.0</v>
      </c>
      <c r="T45" s="104">
        <v>20.0</v>
      </c>
      <c r="U45" s="100"/>
      <c r="V45" s="100"/>
      <c r="W45" s="100"/>
      <c r="X45" s="100"/>
    </row>
    <row r="46">
      <c r="A46" s="117" t="s">
        <v>186</v>
      </c>
      <c r="B46" s="117" t="s">
        <v>187</v>
      </c>
      <c r="C46" s="106" t="s">
        <v>14</v>
      </c>
      <c r="D46" s="106" t="s">
        <v>14</v>
      </c>
      <c r="E46" s="106" t="s">
        <v>14</v>
      </c>
      <c r="F46" s="106" t="s">
        <v>14</v>
      </c>
      <c r="G46" s="106" t="s">
        <v>14</v>
      </c>
      <c r="H46" s="106" t="s">
        <v>14</v>
      </c>
      <c r="I46" s="106" t="s">
        <v>14</v>
      </c>
      <c r="J46" s="106" t="s">
        <v>14</v>
      </c>
      <c r="K46" s="106" t="s">
        <v>14</v>
      </c>
      <c r="L46" s="106" t="s">
        <v>14</v>
      </c>
      <c r="M46" s="106" t="s">
        <v>14</v>
      </c>
      <c r="N46" s="106" t="s">
        <v>14</v>
      </c>
      <c r="O46" s="106" t="s">
        <v>14</v>
      </c>
      <c r="P46" s="106" t="s">
        <v>14</v>
      </c>
      <c r="Q46" s="100"/>
      <c r="R46" s="106"/>
      <c r="S46" s="106"/>
      <c r="T46" s="104">
        <v>20.0</v>
      </c>
      <c r="U46" s="104">
        <v>20.0</v>
      </c>
      <c r="V46" s="100"/>
      <c r="W46" s="100"/>
      <c r="X46" s="100"/>
    </row>
    <row r="47">
      <c r="A47" s="117" t="s">
        <v>188</v>
      </c>
      <c r="B47" s="117" t="s">
        <v>189</v>
      </c>
      <c r="C47" s="106" t="s">
        <v>14</v>
      </c>
      <c r="D47" s="106" t="s">
        <v>14</v>
      </c>
      <c r="E47" s="106" t="s">
        <v>14</v>
      </c>
      <c r="F47" s="106" t="s">
        <v>14</v>
      </c>
      <c r="G47" s="106" t="s">
        <v>14</v>
      </c>
      <c r="H47" s="106" t="s">
        <v>14</v>
      </c>
      <c r="I47" s="106" t="s">
        <v>14</v>
      </c>
      <c r="J47" s="106" t="s">
        <v>14</v>
      </c>
      <c r="K47" s="106" t="s">
        <v>14</v>
      </c>
      <c r="L47" s="106" t="s">
        <v>14</v>
      </c>
      <c r="M47" s="106" t="s">
        <v>14</v>
      </c>
      <c r="N47" s="106" t="s">
        <v>14</v>
      </c>
      <c r="O47" s="106" t="s">
        <v>14</v>
      </c>
      <c r="P47" s="106" t="s">
        <v>14</v>
      </c>
      <c r="Q47" s="106" t="s">
        <v>14</v>
      </c>
      <c r="R47" s="104">
        <v>20.0</v>
      </c>
      <c r="S47" s="104">
        <v>20.0</v>
      </c>
      <c r="T47" s="104">
        <v>20.0</v>
      </c>
      <c r="U47" s="104">
        <v>20.0</v>
      </c>
      <c r="V47" s="104">
        <v>20.0</v>
      </c>
      <c r="W47" s="104">
        <v>20.0</v>
      </c>
      <c r="X47" s="104">
        <v>20.0</v>
      </c>
    </row>
    <row r="48">
      <c r="A48" s="119" t="s">
        <v>190</v>
      </c>
      <c r="B48" s="120"/>
      <c r="C48" s="106" t="s">
        <v>14</v>
      </c>
      <c r="D48" s="121" t="s">
        <v>14</v>
      </c>
      <c r="E48" s="121" t="s">
        <v>14</v>
      </c>
      <c r="F48" s="122">
        <v>20.0</v>
      </c>
      <c r="G48" s="122">
        <v>20.0</v>
      </c>
      <c r="H48" s="122">
        <v>20.0</v>
      </c>
      <c r="I48" s="123"/>
      <c r="J48" s="123"/>
      <c r="K48" s="123"/>
      <c r="L48" s="123"/>
      <c r="M48" s="123"/>
      <c r="N48" s="123"/>
      <c r="O48" s="124"/>
      <c r="P48" s="125"/>
      <c r="Q48" s="125"/>
      <c r="R48" s="125"/>
      <c r="S48" s="125"/>
      <c r="T48" s="125"/>
      <c r="U48" s="125"/>
      <c r="V48" s="125"/>
      <c r="W48" s="125"/>
      <c r="X48" s="125"/>
    </row>
    <row r="49">
      <c r="A49" s="119" t="s">
        <v>191</v>
      </c>
      <c r="B49" s="120"/>
      <c r="C49" s="106" t="s">
        <v>14</v>
      </c>
      <c r="D49" s="121" t="s">
        <v>14</v>
      </c>
      <c r="E49" s="121" t="s">
        <v>14</v>
      </c>
      <c r="F49" s="122">
        <v>20.0</v>
      </c>
      <c r="G49" s="122">
        <v>20.0</v>
      </c>
      <c r="H49" s="122">
        <v>20.0</v>
      </c>
      <c r="I49" s="123"/>
      <c r="J49" s="123"/>
      <c r="K49" s="123"/>
      <c r="L49" s="123"/>
      <c r="M49" s="123"/>
      <c r="N49" s="123"/>
      <c r="O49" s="124"/>
      <c r="P49" s="125"/>
      <c r="Q49" s="125"/>
      <c r="R49" s="125"/>
      <c r="S49" s="125"/>
      <c r="T49" s="125"/>
      <c r="U49" s="125"/>
      <c r="V49" s="125"/>
      <c r="W49" s="125"/>
      <c r="X49" s="125"/>
    </row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</sheetData>
  <mergeCells count="42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36:B36"/>
    <mergeCell ref="A37:B37"/>
    <mergeCell ref="A38:B38"/>
    <mergeCell ref="A39:B39"/>
    <mergeCell ref="A42:B42"/>
    <mergeCell ref="A48:B48"/>
    <mergeCell ref="A49:B49"/>
    <mergeCell ref="A29:B29"/>
    <mergeCell ref="A30:B30"/>
    <mergeCell ref="A31:B31"/>
    <mergeCell ref="A32:B32"/>
    <mergeCell ref="A33:B33"/>
    <mergeCell ref="A34:B34"/>
    <mergeCell ref="A35:B35"/>
  </mergeCells>
  <conditionalFormatting sqref="A2:B41 A48:B49">
    <cfRule type="colorScale" priority="1">
      <colorScale>
        <cfvo type="min"/>
        <cfvo type="max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86"/>
  </cols>
  <sheetData>
    <row r="1">
      <c r="A1" s="126" t="s">
        <v>117</v>
      </c>
      <c r="B1" s="127"/>
      <c r="C1" s="128">
        <v>13141.5</v>
      </c>
    </row>
    <row r="2">
      <c r="A2" s="126" t="s">
        <v>192</v>
      </c>
      <c r="B2" s="126">
        <v>630.0</v>
      </c>
      <c r="C2" s="127"/>
    </row>
    <row r="3">
      <c r="A3" s="126" t="s">
        <v>193</v>
      </c>
      <c r="B3" s="127"/>
      <c r="C3" s="129">
        <f>C1-B2</f>
        <v>12511.5</v>
      </c>
    </row>
    <row r="4">
      <c r="A4" s="126" t="s">
        <v>194</v>
      </c>
      <c r="B4" s="126">
        <v>1020.0</v>
      </c>
      <c r="C4" s="127"/>
    </row>
    <row r="5">
      <c r="A5" s="130" t="s">
        <v>117</v>
      </c>
      <c r="B5" s="127"/>
      <c r="C5" s="129">
        <f>C3+B4</f>
        <v>13531.5</v>
      </c>
    </row>
    <row r="6">
      <c r="A6" s="126" t="s">
        <v>195</v>
      </c>
      <c r="B6" s="127"/>
      <c r="C6" s="126">
        <v>100.0</v>
      </c>
    </row>
    <row r="7">
      <c r="A7" s="126" t="s">
        <v>129</v>
      </c>
      <c r="B7" s="127"/>
      <c r="C7" s="126">
        <v>22.0</v>
      </c>
    </row>
    <row r="8">
      <c r="A8" s="130" t="s">
        <v>117</v>
      </c>
      <c r="B8" s="127"/>
      <c r="C8" s="129">
        <f>C5-SUM(C7+C6)</f>
        <v>13409.5</v>
      </c>
    </row>
    <row r="12">
      <c r="A12" s="131" t="s">
        <v>196</v>
      </c>
    </row>
    <row r="13">
      <c r="A13" s="131" t="s">
        <v>197</v>
      </c>
    </row>
    <row r="14">
      <c r="A14" s="131"/>
    </row>
    <row r="15">
      <c r="A15" s="131"/>
    </row>
    <row r="16">
      <c r="A16" s="131" t="s">
        <v>198</v>
      </c>
    </row>
    <row r="17">
      <c r="A17" s="131" t="s">
        <v>199</v>
      </c>
    </row>
    <row r="20">
      <c r="A20" s="131" t="s">
        <v>200</v>
      </c>
    </row>
    <row r="21">
      <c r="A21" s="131" t="s">
        <v>201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2024-10-01T20:48:00Z</dcterms:created>
  <dc:creator>User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7FBD9AE9B17B4934832FDAFB5A97B03F_13</vt:lpwstr>
  </property>
  <property fmtid="{D5CDD505-2E9C-101B-9397-08002B2CF9AE}" pid="3" name="KSOProductBuildVer">
    <vt:lpwstr>1033-12.2.0.21179</vt:lpwstr>
  </property>
</Properties>
</file>